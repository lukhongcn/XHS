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1"/>
  </bookViews>
  <sheets>
    <sheet name="89998-SDA141015260005" sheetId="36" r:id="rId1"/>
    <sheet name="89998-SDA141015260005-2" sheetId="37" r:id="rId2"/>
  </sheets>
  <definedNames>
    <definedName name="_xlnm.Print_Area" localSheetId="0">'89998-SDA141015260005'!$A$1:$G$150</definedName>
    <definedName name="_xlnm.Print_Area" localSheetId="1">'89998-SDA141015260005-2'!$A$1:$G$150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0" name="ID_1D7698EAB1C1435B8647878E8436F67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1350" y="1859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FAAF56BAA7554FDE911FA6328BC35FD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86900" y="1859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B2485FD40A8A46F8977619199C03C76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81350" y="598043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8BEC5564B56341DC80B1E1E339E0A15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486900" y="598043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B5BB192FC57B4153BBE8A91947519C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81350" y="9733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DA8A132B882E48C1AC9CD0009C7B428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486900" y="9733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C14E0160710247D1931E32904AF876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81350" y="1385951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BA18519195FC4E41A1B9015782020B5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486900" y="1385951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BF595D14941D409DBBC60D633B1758E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181350" y="176212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853D42B168304CD8AFC505915684E1E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486900" y="176212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EFD660C353EA4508B61316C65E18F1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181350" y="217474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59E2F132375B46BEB75961FDB68B744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486900" y="217474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2" name="ID_7CD5908DB33940CB8FF299C80765DACA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181350" y="255092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5DB5BB4FA9F04D60B01C5C90DDAC8A4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486900" y="255092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4" name="ID_F4AE7DA3F37C4B9DA7833A213ADE155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181350" y="296354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5" name="ID_438D3FA750BC421FA9F79756945ED45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486900" y="296354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" name="ID_DA0573065A134C75ADC6A587BFADA89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181350" y="3339719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7" name="ID_93F5F0DCF61040FCB5FF8A37440BC3E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486900" y="3339719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8" name="ID_28253FFF786D4A419CA62B782812B21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181350" y="375234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9" name="ID_D234260638E04D339D874661E6A1929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486900" y="375234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0" name="ID_0C5EA04476504D839C5BEA8C366CAAC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181350" y="4128516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1" name="ID_9FADA52DA8B54FC79FBBC95EDAA295B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486900" y="4128516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2" name="ID_0ABDEC7393CF4D6499138DA1D4E71FE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181350" y="4541139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438014B924524976A15CD3AE83CF061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486900" y="4541139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978146951FA64BEBB55023B9397CD23B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181350" y="1859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5" name="ID_99CA57901F8D43318928B984E3AF202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486900" y="1859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6" name="ID_681DBE3E4C194BDCB5FB04ACC6D0516D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181350" y="598043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7" name="ID_66596B642CE04E378139FBC72D1E855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486900" y="598043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A9E7D3680CDA496993AFC71B83B35CCC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181350" y="9733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BABD508CB7A44BCFA002D9066FA7485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486900" y="97332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0" name="ID_39541403913240B3AF1DFF776B1A4100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181350" y="1385951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1" name="ID_D7F7A8D612404437BF71BF1E2E09115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486900" y="1385951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2" name="ID_0731DB9A686A40899B997B47F5A310FD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181350" y="176212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3" name="ID_6743D7ED2EA84BC18767908B896F50D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486900" y="176212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D410F11F03D84F8589FF0E87A6BF55DA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181350" y="217474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7F2D954461BB44DF8FAC9E846E70B56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486900" y="2174748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6" name="ID_C0609A0FE2394460A5E42598E49ABA9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181350" y="255092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7" name="ID_F8510710E0A040478BDA69930BEA56D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486900" y="255092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" name="ID_6B39CFECC7D7400BBD9340BCFC44D6AA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181350" y="296354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" name="ID_C36F98D59C2D44D599F2E2B7E831C773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486900" y="2963545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" name="ID_EE82A7447BA5495FA0E948DC93DD7324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181350" y="3339719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BF690C044AE44A6099FA231AF1B92E5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486900" y="3339719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2" name="ID_2A8D26CD418941DB80D90637250110BC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181350" y="375234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" name="ID_1C4A443256FA4A4F82CBFF8DADD6667C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486900" y="3752342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" name="ID_18F2A01CD0CC4E54A9A2181F4B0D4AD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181350" y="4128516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5" name="ID_FDEB2CDA118149F5AAF7BE9DC7E1544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9486900" y="4128516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" name="ID_5D684B9A90C840F3BB605B25AC3B74C5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181350" y="45411390"/>
          <a:ext cx="1924050" cy="1924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7" name="ID_FD1FC1FD41F04E54844D87E09454E231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9486900" y="45411390"/>
          <a:ext cx="1924050" cy="19240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<sst xmlns="http://schemas.openxmlformats.org/spreadsheetml/2006/main" count="1104" uniqueCount="69">
  <si>
    <t>KD专用</t>
  </si>
  <si>
    <t>供应商代码</t>
  </si>
  <si>
    <t>7NN</t>
  </si>
  <si>
    <t>零件号</t>
  </si>
  <si>
    <t>21B13A001</t>
  </si>
  <si>
    <t>零件中文名称</t>
  </si>
  <si>
    <t>后下臂总成</t>
  </si>
  <si>
    <t>英文名称</t>
  </si>
  <si>
    <t>ARM COMPL,LOWER</t>
  </si>
  <si>
    <t>数量</t>
  </si>
  <si>
    <t>5</t>
  </si>
  <si>
    <t>供货批次号</t>
  </si>
  <si>
    <t>89998-SDA141015260005</t>
  </si>
  <si>
    <t>码放层数</t>
  </si>
  <si>
    <t>3</t>
  </si>
  <si>
    <t>生产日期</t>
  </si>
  <si>
    <t>2026/06/07</t>
  </si>
  <si>
    <t>检验确认/日期</t>
  </si>
  <si>
    <t>纸箱编号</t>
  </si>
  <si>
    <t>48-1</t>
  </si>
  <si>
    <t>48-2</t>
  </si>
  <si>
    <t>单箱毛重</t>
  </si>
  <si>
    <t>15000g</t>
  </si>
  <si>
    <t>48-3</t>
  </si>
  <si>
    <t>48-4</t>
  </si>
  <si>
    <t>48-5</t>
  </si>
  <si>
    <t>48-6</t>
  </si>
  <si>
    <t>48-7</t>
  </si>
  <si>
    <t>48-8</t>
  </si>
  <si>
    <t>48-9</t>
  </si>
  <si>
    <t>48-10</t>
  </si>
  <si>
    <t>48-11</t>
  </si>
  <si>
    <t>48-12</t>
  </si>
  <si>
    <t>48-13</t>
  </si>
  <si>
    <t>48-14</t>
  </si>
  <si>
    <t>48-15</t>
  </si>
  <si>
    <t>48-16</t>
  </si>
  <si>
    <t>48-17</t>
  </si>
  <si>
    <t>48-18</t>
  </si>
  <si>
    <t>48-19</t>
  </si>
  <si>
    <t>48-20</t>
  </si>
  <si>
    <t>48-21</t>
  </si>
  <si>
    <t>48-22</t>
  </si>
  <si>
    <t>48-23</t>
  </si>
  <si>
    <t>48-24</t>
  </si>
  <si>
    <t>48-25</t>
  </si>
  <si>
    <t>48-26</t>
  </si>
  <si>
    <t>48-27</t>
  </si>
  <si>
    <t>48-28</t>
  </si>
  <si>
    <t>48-29</t>
  </si>
  <si>
    <t>48-30</t>
  </si>
  <si>
    <t>48-31</t>
  </si>
  <si>
    <t>48-32</t>
  </si>
  <si>
    <t>48-33</t>
  </si>
  <si>
    <t>48-34</t>
  </si>
  <si>
    <t>48-35</t>
  </si>
  <si>
    <t>48-36</t>
  </si>
  <si>
    <t>48-37</t>
  </si>
  <si>
    <t>48-38</t>
  </si>
  <si>
    <t>48-39</t>
  </si>
  <si>
    <t>48-40</t>
  </si>
  <si>
    <t>48-41</t>
  </si>
  <si>
    <t>48-42</t>
  </si>
  <si>
    <t>48-43</t>
  </si>
  <si>
    <t>48-44</t>
  </si>
  <si>
    <t>48-45</t>
  </si>
  <si>
    <t>48-46</t>
  </si>
  <si>
    <t>48-47</t>
  </si>
  <si>
    <t>48-48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</si>
</sst>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40"/>
      <name val="宋体"/>
      <charset val="134"/>
    </font>
    <font>
      <sz val="48"/>
      <name val="宋体"/>
      <charset val="134"/>
    </font>
    <font>
      <sz val="10"/>
      <name val="微软雅黑"/>
      <charset val="134"/>
    </font>
    <font>
      <sz val="10"/>
      <name val="宋体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0"/>
    <xf numFmtId="0" fontId="1" fillId="2" borderId="1" xfId="49" applyFont="1" applyFill="1" applyBorder="1" applyAlignment="1">
      <alignment horizontal="left"/>
    </xf>
    <xf numFmtId="0" fontId="2" fillId="2" borderId="1" xfId="49" applyFont="1" applyFill="1" applyBorder="1" applyAlignment="1">
      <alignment horizontal="left"/>
    </xf>
    <xf numFmtId="0" fontId="0" fillId="2" borderId="0" xfId="49" applyFill="1"/>
    <xf numFmtId="49" fontId="3" fillId="2" borderId="1" xfId="49" applyNumberFormat="1" applyFont="1" applyFill="1" applyBorder="1" applyAlignment="1">
      <alignment horizontal="center" vertical="center"/>
    </xf>
    <xf numFmtId="0" fontId="4" fillId="2" borderId="0" xfId="49" applyFont="1" applyFill="1"/>
    <xf numFmtId="49" fontId="3" fillId="2" borderId="2" xfId="49" applyNumberFormat="1" applyFont="1" applyFill="1" applyBorder="1" applyAlignment="1">
      <alignment horizontal="center" vertical="center"/>
    </xf>
    <xf numFmtId="49" fontId="3" fillId="2" borderId="3" xfId="49" applyNumberFormat="1" applyFont="1" applyFill="1" applyBorder="1" applyAlignment="1">
      <alignment horizontal="center" vertical="center"/>
    </xf>
    <xf numFmtId="0" fontId="4" fillId="2" borderId="4" xfId="49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49" fontId="4" fillId="2" borderId="5" xfId="49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49" fontId="4" fillId="2" borderId="6" xfId="49" applyNumberFormat="1" applyFont="1" applyFill="1" applyBorder="1" applyAlignment="1">
      <alignment horizontal="center"/>
    </xf>
    <xf numFmtId="0" fontId="0" fillId="2" borderId="0" xfId="0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0099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view="pageBreakPreview" zoomScale="90" zoomScaleNormal="100" topLeftCell="A137" workbookViewId="0">
      <selection activeCell="G144" sqref="G144:G150"/>
    </sheetView>
  </sheetViews>
  <sheetFormatPr defaultColWidth="9" defaultRowHeight="15.6"/>
  <cols>
    <col min="1" max="1" width="17.5" customWidth="1"/>
    <col min="2" max="2" width="24.25" customWidth="1"/>
    <col min="3" max="3" width="28.625" customWidth="1"/>
    <col min="5" max="5" width="20.125" customWidth="1"/>
    <col min="6" max="6" width="25" customWidth="1"/>
    <col min="7" max="7" width="29.625" customWidth="1"/>
  </cols>
  <sheetData>
    <row r="1" ht="61.2" spans="1:9">
      <c r="A1" s="1" t="s">
        <v>0</v>
      </c>
      <c r="B1" s="1"/>
      <c r="C1" s="2"/>
      <c r="D1" s="3"/>
      <c r="E1" s="1" t="s">
        <v>0</v>
      </c>
      <c r="F1" s="1"/>
      <c r="G1" s="2"/>
    </row>
    <row r="2" ht="21.3" customHeight="1" spans="1:9">
      <c r="A2" s="4" t="s">
        <v>1</v>
      </c>
      <c r="B2" s="4" t="s">
        <v>2</v>
      </c>
      <c r="C2" s="4"/>
      <c r="D2" s="5"/>
      <c r="E2" s="4" t="s">
        <v>1</v>
      </c>
      <c r="F2" s="4" t="s">
        <v>2</v>
      </c>
      <c r="G2" s="4"/>
    </row>
    <row r="3" ht="21.3" customHeight="1" spans="1:9">
      <c r="A3" s="4" t="s">
        <v>3</v>
      </c>
      <c r="B3" s="6" t="s">
        <v>4</v>
      </c>
      <c r="C3" s="7"/>
      <c r="D3" s="5"/>
      <c r="E3" s="4" t="s">
        <v>3</v>
      </c>
      <c r="F3" s="6" t="s">
        <v>4</v>
      </c>
      <c r="G3" s="7"/>
    </row>
    <row r="4" ht="21.3" customHeight="1" spans="1:9">
      <c r="A4" s="4" t="s">
        <v>5</v>
      </c>
      <c r="B4" s="6" t="s">
        <v>6</v>
      </c>
      <c r="C4" s="7"/>
      <c r="D4" s="5"/>
      <c r="E4" s="4" t="s">
        <v>5</v>
      </c>
      <c r="F4" s="6" t="s">
        <v>6</v>
      </c>
      <c r="G4" s="7"/>
    </row>
    <row r="5" ht="21.3" customHeight="1" spans="1:9">
      <c r="A5" s="4" t="s">
        <v>7</v>
      </c>
      <c r="B5" s="6" t="s">
        <v>8</v>
      </c>
      <c r="C5" s="7"/>
      <c r="D5" s="5"/>
      <c r="E5" s="4" t="s">
        <v>7</v>
      </c>
      <c r="F5" s="6" t="s">
        <v>8</v>
      </c>
      <c r="G5" s="7"/>
    </row>
    <row r="6" ht="21.3" customHeight="1" spans="1:9">
      <c r="A6" s="4" t="s">
        <v>9</v>
      </c>
      <c r="B6" s="4" t="s">
        <v>10</v>
      </c>
      <c r="C6" s="8" t="str">
        <f>_xlfn.DISPIMG("ID_1D7698EAB1C1435B8647878E8436F67F",1)</f>
        <v>=DISPIMG("ID_1D7698EAB1C1435B8647878E8436F67F",1)</v>
      </c>
      <c r="D6" s="5"/>
      <c r="E6" s="4" t="s">
        <v>9</v>
      </c>
      <c r="F6" s="4" t="s">
        <v>10</v>
      </c>
      <c r="G6" s="8" t="str">
        <f>_xlfn.DISPIMG("ID_FAAF56BAA7554FDE911FA6328BC35FD9",1)</f>
        <v>=DISPIMG("ID_FAAF56BAA7554FDE911FA6328BC35FD9",1)</v>
      </c>
    </row>
    <row r="7" ht="21.3" customHeight="1" spans="1:9">
      <c r="A7" s="4" t="s">
        <v>11</v>
      </c>
      <c r="B7" s="9" t="s">
        <v>12</v>
      </c>
      <c r="C7" s="10"/>
      <c r="D7" s="5"/>
      <c r="E7" s="4" t="s">
        <v>11</v>
      </c>
      <c r="F7" s="9" t="s">
        <v>12</v>
      </c>
      <c r="G7" s="10"/>
    </row>
    <row r="8" ht="21.3" customHeight="1" spans="1:9">
      <c r="A8" s="4" t="s">
        <v>13</v>
      </c>
      <c r="B8" s="4" t="s">
        <v>14</v>
      </c>
      <c r="C8" s="10"/>
      <c r="D8" s="5"/>
      <c r="E8" s="4" t="s">
        <v>13</v>
      </c>
      <c r="F8" s="4" t="s">
        <v>14</v>
      </c>
      <c r="G8" s="10"/>
    </row>
    <row r="9" ht="21.3" customHeight="1" spans="1:9">
      <c r="A9" s="4" t="s">
        <v>15</v>
      </c>
      <c r="B9" s="4" t="s">
        <v>16</v>
      </c>
      <c r="C9" s="10"/>
      <c r="D9" s="5"/>
      <c r="E9" s="4" t="s">
        <v>15</v>
      </c>
      <c r="F9" s="4" t="s">
        <v>16</v>
      </c>
      <c r="G9" s="10"/>
    </row>
    <row r="10" ht="21.3" customHeight="1" spans="1:9">
      <c r="A10" s="4" t="s">
        <v>17</v>
      </c>
      <c r="B10" s="4" t="s">
        <v>16</v>
      </c>
      <c r="C10" s="10"/>
      <c r="D10" s="5"/>
      <c r="E10" s="4" t="s">
        <v>17</v>
      </c>
      <c r="F10" s="4" t="s">
        <v>16</v>
      </c>
      <c r="G10" s="10"/>
      <c r="I10" s="11"/>
    </row>
    <row r="11" ht="21.3" customHeight="1" spans="1:9">
      <c r="A11" s="4" t="s">
        <v>18</v>
      </c>
      <c r="B11" s="4" t="s">
        <v>19</v>
      </c>
      <c r="C11" s="10"/>
      <c r="D11" s="5"/>
      <c r="E11" s="4" t="s">
        <v>18</v>
      </c>
      <c r="F11" s="4" t="s">
        <v>20</v>
      </c>
      <c r="G11" s="10"/>
    </row>
    <row r="12" ht="21.3" customHeight="1" spans="1:9">
      <c r="A12" s="4" t="s">
        <v>21</v>
      </c>
      <c r="B12" s="4" t="s">
        <v>22</v>
      </c>
      <c r="C12" s="12"/>
      <c r="D12" s="5"/>
      <c r="E12" s="4" t="s">
        <v>21</v>
      </c>
      <c r="F12" s="4" t="s">
        <v>22</v>
      </c>
      <c r="G12" s="12"/>
    </row>
    <row r="13" ht="29" customHeight="1" spans="1:9">
      <c r="A13" s="13"/>
      <c r="B13" s="13"/>
      <c r="C13" s="13"/>
      <c r="D13" s="13"/>
      <c r="E13" s="13"/>
      <c r="F13" s="13"/>
      <c r="G13" s="13"/>
    </row>
    <row r="14" ht="61.2" spans="1:9">
      <c r="A14" s="1" t="s">
        <v>0</v>
      </c>
      <c r="B14" s="1"/>
      <c r="C14" s="2"/>
      <c r="D14" s="3"/>
      <c r="E14" s="1" t="s">
        <v>0</v>
      </c>
      <c r="F14" s="1"/>
      <c r="G14" s="2"/>
    </row>
    <row r="15" ht="21.3" customHeight="1" spans="1:9">
      <c r="A15" s="4" t="s">
        <v>1</v>
      </c>
      <c r="B15" s="4" t="s">
        <v>2</v>
      </c>
      <c r="C15" s="4"/>
      <c r="D15" s="5"/>
      <c r="E15" s="4" t="s">
        <v>1</v>
      </c>
      <c r="F15" s="4" t="s">
        <v>2</v>
      </c>
      <c r="G15" s="4"/>
    </row>
    <row r="16" ht="21.3" customHeight="1" spans="1:9">
      <c r="A16" s="4" t="s">
        <v>3</v>
      </c>
      <c r="B16" s="6" t="s">
        <v>4</v>
      </c>
      <c r="C16" s="7"/>
      <c r="D16" s="5"/>
      <c r="E16" s="4" t="s">
        <v>3</v>
      </c>
      <c r="F16" s="6" t="s">
        <v>4</v>
      </c>
      <c r="G16" s="7"/>
    </row>
    <row r="17" ht="21.3" customHeight="1" spans="1:7">
      <c r="A17" s="4" t="s">
        <v>5</v>
      </c>
      <c r="B17" s="6" t="s">
        <v>6</v>
      </c>
      <c r="C17" s="7"/>
      <c r="D17" s="5"/>
      <c r="E17" s="4" t="s">
        <v>5</v>
      </c>
      <c r="F17" s="6" t="s">
        <v>6</v>
      </c>
      <c r="G17" s="7"/>
    </row>
    <row r="18" ht="21.3" customHeight="1" spans="1:7">
      <c r="A18" s="4" t="s">
        <v>7</v>
      </c>
      <c r="B18" s="6" t="s">
        <v>8</v>
      </c>
      <c r="C18" s="7"/>
      <c r="D18" s="5"/>
      <c r="E18" s="4" t="s">
        <v>7</v>
      </c>
      <c r="F18" s="6" t="s">
        <v>8</v>
      </c>
      <c r="G18" s="7"/>
    </row>
    <row r="19" ht="21.3" customHeight="1" spans="1:7">
      <c r="A19" s="4" t="s">
        <v>9</v>
      </c>
      <c r="B19" s="4" t="s">
        <v>10</v>
      </c>
      <c r="C19" s="8" t="str">
        <f>_xlfn.DISPIMG("ID_B2485FD40A8A46F8977619199C03C76F",1)</f>
        <v>=DISPIMG("ID_B2485FD40A8A46F8977619199C03C76F",1)</v>
      </c>
      <c r="D19" s="5"/>
      <c r="E19" s="4" t="s">
        <v>9</v>
      </c>
      <c r="F19" s="4" t="s">
        <v>10</v>
      </c>
      <c r="G19" s="8" t="str">
        <f>_xlfn.DISPIMG("ID_8BEC5564B56341DC80B1E1E339E0A154",1)</f>
        <v>=DISPIMG("ID_8BEC5564B56341DC80B1E1E339E0A154",1)</v>
      </c>
    </row>
    <row r="20" ht="21.3" customHeight="1" spans="1:7">
      <c r="A20" s="4" t="s">
        <v>11</v>
      </c>
      <c r="B20" s="9" t="s">
        <v>12</v>
      </c>
      <c r="C20" s="10"/>
      <c r="D20" s="5"/>
      <c r="E20" s="4" t="s">
        <v>11</v>
      </c>
      <c r="F20" s="9" t="s">
        <v>12</v>
      </c>
      <c r="G20" s="10"/>
    </row>
    <row r="21" ht="21.3" customHeight="1" spans="1:7">
      <c r="A21" s="4" t="s">
        <v>13</v>
      </c>
      <c r="B21" s="4" t="s">
        <v>14</v>
      </c>
      <c r="C21" s="10"/>
      <c r="D21" s="5"/>
      <c r="E21" s="4" t="s">
        <v>13</v>
      </c>
      <c r="F21" s="4" t="s">
        <v>14</v>
      </c>
      <c r="G21" s="10"/>
    </row>
    <row r="22" ht="21.3" customHeight="1" spans="1:7">
      <c r="A22" s="4" t="s">
        <v>15</v>
      </c>
      <c r="B22" s="4" t="s">
        <v>16</v>
      </c>
      <c r="C22" s="10"/>
      <c r="D22" s="5"/>
      <c r="E22" s="4" t="s">
        <v>15</v>
      </c>
      <c r="F22" s="4" t="s">
        <v>16</v>
      </c>
      <c r="G22" s="10"/>
    </row>
    <row r="23" ht="21.3" customHeight="1" spans="1:7">
      <c r="A23" s="4" t="s">
        <v>17</v>
      </c>
      <c r="B23" s="4" t="s">
        <v>16</v>
      </c>
      <c r="C23" s="10"/>
      <c r="D23" s="5"/>
      <c r="E23" s="4" t="s">
        <v>17</v>
      </c>
      <c r="F23" s="4" t="s">
        <v>16</v>
      </c>
      <c r="G23" s="10"/>
    </row>
    <row r="24" ht="21.3" customHeight="1" spans="1:7">
      <c r="A24" s="4" t="s">
        <v>18</v>
      </c>
      <c r="B24" s="4" t="s">
        <v>23</v>
      </c>
      <c r="C24" s="10"/>
      <c r="D24" s="5"/>
      <c r="E24" s="4" t="s">
        <v>18</v>
      </c>
      <c r="F24" s="4" t="s">
        <v>24</v>
      </c>
      <c r="G24" s="10"/>
    </row>
    <row r="25" ht="21.3" customHeight="1" spans="1:7">
      <c r="A25" s="4" t="s">
        <v>21</v>
      </c>
      <c r="B25" s="4" t="s">
        <v>22</v>
      </c>
      <c r="C25" s="12"/>
      <c r="D25" s="5"/>
      <c r="E25" s="4" t="s">
        <v>21</v>
      </c>
      <c r="F25" s="4" t="s">
        <v>22</v>
      </c>
      <c r="G25" s="12"/>
    </row>
    <row r="26" ht="61.2" spans="1:7">
      <c r="A26" s="1" t="s">
        <v>0</v>
      </c>
      <c r="B26" s="1"/>
      <c r="C26" s="2"/>
      <c r="D26" s="3"/>
      <c r="E26" s="1" t="s">
        <v>0</v>
      </c>
      <c r="F26" s="1"/>
      <c r="G26" s="2"/>
    </row>
    <row r="27" ht="21.3" customHeight="1" spans="1:7">
      <c r="A27" s="4" t="s">
        <v>1</v>
      </c>
      <c r="B27" s="4" t="s">
        <v>2</v>
      </c>
      <c r="C27" s="4"/>
      <c r="D27" s="5"/>
      <c r="E27" s="4" t="s">
        <v>1</v>
      </c>
      <c r="F27" s="4" t="s">
        <v>2</v>
      </c>
      <c r="G27" s="4"/>
    </row>
    <row r="28" ht="21.3" customHeight="1" spans="1:7">
      <c r="A28" s="4" t="s">
        <v>3</v>
      </c>
      <c r="B28" s="6" t="s">
        <v>4</v>
      </c>
      <c r="C28" s="7"/>
      <c r="D28" s="5"/>
      <c r="E28" s="4" t="s">
        <v>3</v>
      </c>
      <c r="F28" s="6" t="s">
        <v>4</v>
      </c>
      <c r="G28" s="7"/>
    </row>
    <row r="29" ht="21.3" customHeight="1" spans="1:7">
      <c r="A29" s="4" t="s">
        <v>5</v>
      </c>
      <c r="B29" s="6" t="s">
        <v>6</v>
      </c>
      <c r="C29" s="7"/>
      <c r="D29" s="5"/>
      <c r="E29" s="4" t="s">
        <v>5</v>
      </c>
      <c r="F29" s="6" t="s">
        <v>6</v>
      </c>
      <c r="G29" s="7"/>
    </row>
    <row r="30" ht="21.3" customHeight="1" spans="1:7">
      <c r="A30" s="4" t="s">
        <v>7</v>
      </c>
      <c r="B30" s="6" t="s">
        <v>8</v>
      </c>
      <c r="C30" s="7"/>
      <c r="D30" s="5"/>
      <c r="E30" s="4" t="s">
        <v>7</v>
      </c>
      <c r="F30" s="6" t="s">
        <v>8</v>
      </c>
      <c r="G30" s="7"/>
    </row>
    <row r="31" ht="21.3" customHeight="1" spans="1:7">
      <c r="A31" s="4" t="s">
        <v>9</v>
      </c>
      <c r="B31" s="4" t="s">
        <v>10</v>
      </c>
      <c r="C31" s="8" t="str">
        <f>_xlfn.DISPIMG("ID_B5BB192FC57B4153BBE8A91947519C55",1)</f>
        <v>=DISPIMG("ID_B5BB192FC57B4153BBE8A91947519C55",1)</v>
      </c>
      <c r="D31" s="5"/>
      <c r="E31" s="4" t="s">
        <v>9</v>
      </c>
      <c r="F31" s="4" t="s">
        <v>10</v>
      </c>
      <c r="G31" s="8" t="str">
        <f>_xlfn.DISPIMG("ID_DA8A132B882E48C1AC9CD0009C7B4280",1)</f>
        <v>=DISPIMG("ID_DA8A132B882E48C1AC9CD0009C7B4280",1)</v>
      </c>
    </row>
    <row r="32" ht="21.3" customHeight="1" spans="1:7">
      <c r="A32" s="4" t="s">
        <v>11</v>
      </c>
      <c r="B32" s="9" t="s">
        <v>12</v>
      </c>
      <c r="C32" s="10"/>
      <c r="D32" s="5"/>
      <c r="E32" s="4" t="s">
        <v>11</v>
      </c>
      <c r="F32" s="9" t="s">
        <v>12</v>
      </c>
      <c r="G32" s="10"/>
    </row>
    <row r="33" ht="21.3" customHeight="1" spans="1:7">
      <c r="A33" s="4" t="s">
        <v>13</v>
      </c>
      <c r="B33" s="4" t="s">
        <v>14</v>
      </c>
      <c r="C33" s="10"/>
      <c r="D33" s="5"/>
      <c r="E33" s="4" t="s">
        <v>13</v>
      </c>
      <c r="F33" s="4" t="s">
        <v>14</v>
      </c>
      <c r="G33" s="10"/>
    </row>
    <row r="34" ht="21.3" customHeight="1" spans="1:7">
      <c r="A34" s="4" t="s">
        <v>15</v>
      </c>
      <c r="B34" s="4" t="s">
        <v>16</v>
      </c>
      <c r="C34" s="10"/>
      <c r="D34" s="5"/>
      <c r="E34" s="4" t="s">
        <v>15</v>
      </c>
      <c r="F34" s="4" t="s">
        <v>16</v>
      </c>
      <c r="G34" s="10"/>
    </row>
    <row r="35" ht="21.3" customHeight="1" spans="1:7">
      <c r="A35" s="4" t="s">
        <v>17</v>
      </c>
      <c r="B35" s="4" t="s">
        <v>16</v>
      </c>
      <c r="C35" s="10"/>
      <c r="D35" s="5"/>
      <c r="E35" s="4" t="s">
        <v>17</v>
      </c>
      <c r="F35" s="4" t="s">
        <v>16</v>
      </c>
      <c r="G35" s="10"/>
    </row>
    <row r="36" ht="21.3" customHeight="1" spans="1:7">
      <c r="A36" s="4" t="s">
        <v>18</v>
      </c>
      <c r="B36" s="4" t="s">
        <v>25</v>
      </c>
      <c r="C36" s="10"/>
      <c r="D36" s="5"/>
      <c r="E36" s="4" t="s">
        <v>18</v>
      </c>
      <c r="F36" s="4" t="s">
        <v>26</v>
      </c>
      <c r="G36" s="10"/>
    </row>
    <row r="37" ht="21.3" customHeight="1" spans="1:7">
      <c r="A37" s="4" t="s">
        <v>21</v>
      </c>
      <c r="B37" s="4" t="s">
        <v>22</v>
      </c>
      <c r="C37" s="12"/>
      <c r="D37" s="5"/>
      <c r="E37" s="4" t="s">
        <v>21</v>
      </c>
      <c r="F37" s="4" t="s">
        <v>22</v>
      </c>
      <c r="G37" s="12"/>
    </row>
    <row r="38" ht="29" customHeight="1" spans="1:7">
      <c r="A38" s="13"/>
      <c r="B38" s="13"/>
      <c r="C38" s="13"/>
      <c r="D38" s="13"/>
      <c r="E38" s="13"/>
      <c r="F38" s="13"/>
      <c r="G38" s="13"/>
    </row>
    <row r="39" ht="61.2" spans="1:7">
      <c r="A39" s="1" t="s">
        <v>0</v>
      </c>
      <c r="B39" s="1"/>
      <c r="C39" s="2"/>
      <c r="D39" s="3"/>
      <c r="E39" s="1" t="s">
        <v>0</v>
      </c>
      <c r="F39" s="1"/>
      <c r="G39" s="2"/>
    </row>
    <row r="40" ht="21.4" customHeight="1" spans="1:7">
      <c r="A40" s="4" t="s">
        <v>1</v>
      </c>
      <c r="B40" s="4" t="s">
        <v>2</v>
      </c>
      <c r="C40" s="4"/>
      <c r="D40" s="5"/>
      <c r="E40" s="4" t="s">
        <v>1</v>
      </c>
      <c r="F40" s="4" t="s">
        <v>2</v>
      </c>
      <c r="G40" s="4"/>
    </row>
    <row r="41" ht="21.4" customHeight="1" spans="1:7">
      <c r="A41" s="4" t="s">
        <v>3</v>
      </c>
      <c r="B41" s="6" t="s">
        <v>4</v>
      </c>
      <c r="C41" s="7"/>
      <c r="D41" s="5"/>
      <c r="E41" s="4" t="s">
        <v>3</v>
      </c>
      <c r="F41" s="6" t="s">
        <v>4</v>
      </c>
      <c r="G41" s="7"/>
    </row>
    <row r="42" ht="21.4" customHeight="1" spans="1:7">
      <c r="A42" s="4" t="s">
        <v>5</v>
      </c>
      <c r="B42" s="6" t="s">
        <v>6</v>
      </c>
      <c r="C42" s="7"/>
      <c r="D42" s="5"/>
      <c r="E42" s="4" t="s">
        <v>5</v>
      </c>
      <c r="F42" s="6" t="s">
        <v>6</v>
      </c>
      <c r="G42" s="7"/>
    </row>
    <row r="43" ht="21.4" customHeight="1" spans="1:7">
      <c r="A43" s="4" t="s">
        <v>7</v>
      </c>
      <c r="B43" s="6" t="s">
        <v>8</v>
      </c>
      <c r="C43" s="7"/>
      <c r="D43" s="5"/>
      <c r="E43" s="4" t="s">
        <v>7</v>
      </c>
      <c r="F43" s="6" t="s">
        <v>8</v>
      </c>
      <c r="G43" s="7"/>
    </row>
    <row r="44" ht="21.4" customHeight="1" spans="1:7">
      <c r="A44" s="4" t="s">
        <v>9</v>
      </c>
      <c r="B44" s="4" t="s">
        <v>10</v>
      </c>
      <c r="C44" s="8" t="str">
        <f>_xlfn.DISPIMG("ID_C14E0160710247D1931E32904AF87616",1)</f>
        <v>=DISPIMG("ID_C14E0160710247D1931E32904AF87616",1)</v>
      </c>
      <c r="D44" s="5"/>
      <c r="E44" s="4" t="s">
        <v>9</v>
      </c>
      <c r="F44" s="4" t="s">
        <v>10</v>
      </c>
      <c r="G44" s="8" t="str">
        <f>_xlfn.DISPIMG("ID_BA18519195FC4E41A1B9015782020B5C",1)</f>
        <v>=DISPIMG("ID_BA18519195FC4E41A1B9015782020B5C",1)</v>
      </c>
    </row>
    <row r="45" ht="21.4" customHeight="1" spans="1:7">
      <c r="A45" s="4" t="s">
        <v>11</v>
      </c>
      <c r="B45" s="9" t="s">
        <v>12</v>
      </c>
      <c r="C45" s="10"/>
      <c r="D45" s="5"/>
      <c r="E45" s="4" t="s">
        <v>11</v>
      </c>
      <c r="F45" s="9" t="s">
        <v>12</v>
      </c>
      <c r="G45" s="10"/>
    </row>
    <row r="46" ht="21.4" customHeight="1" spans="1:7">
      <c r="A46" s="4" t="s">
        <v>13</v>
      </c>
      <c r="B46" s="4" t="s">
        <v>14</v>
      </c>
      <c r="C46" s="10"/>
      <c r="D46" s="5"/>
      <c r="E46" s="4" t="s">
        <v>13</v>
      </c>
      <c r="F46" s="4" t="s">
        <v>14</v>
      </c>
      <c r="G46" s="10"/>
    </row>
    <row r="47" ht="21.4" customHeight="1" spans="1:7">
      <c r="A47" s="4" t="s">
        <v>15</v>
      </c>
      <c r="B47" s="4" t="s">
        <v>16</v>
      </c>
      <c r="C47" s="10"/>
      <c r="D47" s="5"/>
      <c r="E47" s="4" t="s">
        <v>15</v>
      </c>
      <c r="F47" s="4" t="s">
        <v>16</v>
      </c>
      <c r="G47" s="10"/>
    </row>
    <row r="48" ht="21.4" customHeight="1" spans="1:7">
      <c r="A48" s="4" t="s">
        <v>17</v>
      </c>
      <c r="B48" s="4" t="s">
        <v>16</v>
      </c>
      <c r="C48" s="10"/>
      <c r="D48" s="5"/>
      <c r="E48" s="4" t="s">
        <v>17</v>
      </c>
      <c r="F48" s="4" t="s">
        <v>16</v>
      </c>
      <c r="G48" s="10"/>
    </row>
    <row r="49" ht="21.4" customHeight="1" spans="1:7">
      <c r="A49" s="4" t="s">
        <v>18</v>
      </c>
      <c r="B49" s="4" t="s">
        <v>27</v>
      </c>
      <c r="C49" s="10"/>
      <c r="D49" s="5"/>
      <c r="E49" s="4" t="s">
        <v>18</v>
      </c>
      <c r="F49" s="4" t="s">
        <v>28</v>
      </c>
      <c r="G49" s="10"/>
    </row>
    <row r="50" ht="21.4" customHeight="1" spans="1:7">
      <c r="A50" s="4" t="s">
        <v>21</v>
      </c>
      <c r="B50" s="4" t="s">
        <v>22</v>
      </c>
      <c r="C50" s="12"/>
      <c r="D50" s="5"/>
      <c r="E50" s="4" t="s">
        <v>21</v>
      </c>
      <c r="F50" s="4" t="s">
        <v>22</v>
      </c>
      <c r="G50" s="12"/>
    </row>
    <row r="51" ht="61.2" spans="1:7">
      <c r="A51" s="1" t="s">
        <v>0</v>
      </c>
      <c r="B51" s="1"/>
      <c r="C51" s="2"/>
      <c r="D51" s="3"/>
      <c r="E51" s="1" t="s">
        <v>0</v>
      </c>
      <c r="F51" s="1"/>
      <c r="G51" s="2"/>
    </row>
    <row r="52" ht="21.3" customHeight="1" spans="1:7">
      <c r="A52" s="4" t="s">
        <v>1</v>
      </c>
      <c r="B52" s="4" t="s">
        <v>2</v>
      </c>
      <c r="C52" s="4"/>
      <c r="D52" s="5"/>
      <c r="E52" s="4" t="s">
        <v>1</v>
      </c>
      <c r="F52" s="4" t="s">
        <v>2</v>
      </c>
      <c r="G52" s="4"/>
    </row>
    <row r="53" ht="21.3" customHeight="1" spans="1:7">
      <c r="A53" s="4" t="s">
        <v>3</v>
      </c>
      <c r="B53" s="6" t="s">
        <v>4</v>
      </c>
      <c r="C53" s="7"/>
      <c r="D53" s="5"/>
      <c r="E53" s="4" t="s">
        <v>3</v>
      </c>
      <c r="F53" s="6" t="s">
        <v>4</v>
      </c>
      <c r="G53" s="7"/>
    </row>
    <row r="54" ht="21.3" customHeight="1" spans="1:7">
      <c r="A54" s="4" t="s">
        <v>5</v>
      </c>
      <c r="B54" s="6" t="s">
        <v>6</v>
      </c>
      <c r="C54" s="7"/>
      <c r="D54" s="5"/>
      <c r="E54" s="4" t="s">
        <v>5</v>
      </c>
      <c r="F54" s="6" t="s">
        <v>6</v>
      </c>
      <c r="G54" s="7"/>
    </row>
    <row r="55" ht="21.3" customHeight="1" spans="1:7">
      <c r="A55" s="4" t="s">
        <v>7</v>
      </c>
      <c r="B55" s="6" t="s">
        <v>8</v>
      </c>
      <c r="C55" s="7"/>
      <c r="D55" s="5"/>
      <c r="E55" s="4" t="s">
        <v>7</v>
      </c>
      <c r="F55" s="6" t="s">
        <v>8</v>
      </c>
      <c r="G55" s="7"/>
    </row>
    <row r="56" ht="21.3" customHeight="1" spans="1:7">
      <c r="A56" s="4" t="s">
        <v>9</v>
      </c>
      <c r="B56" s="4" t="s">
        <v>10</v>
      </c>
      <c r="C56" s="8" t="str">
        <f>_xlfn.DISPIMG("ID_BF595D14941D409DBBC60D633B1758EF",1)</f>
        <v>=DISPIMG("ID_BF595D14941D409DBBC60D633B1758EF",1)</v>
      </c>
      <c r="D56" s="5"/>
      <c r="E56" s="4" t="s">
        <v>9</v>
      </c>
      <c r="F56" s="4" t="s">
        <v>10</v>
      </c>
      <c r="G56" s="8" t="str">
        <f>_xlfn.DISPIMG("ID_853D42B168304CD8AFC505915684E1E1",1)</f>
        <v>=DISPIMG("ID_853D42B168304CD8AFC505915684E1E1",1)</v>
      </c>
    </row>
    <row r="57" ht="21.3" customHeight="1" spans="1:7">
      <c r="A57" s="4" t="s">
        <v>11</v>
      </c>
      <c r="B57" s="9" t="s">
        <v>12</v>
      </c>
      <c r="C57" s="10"/>
      <c r="D57" s="5"/>
      <c r="E57" s="4" t="s">
        <v>11</v>
      </c>
      <c r="F57" s="9" t="s">
        <v>12</v>
      </c>
      <c r="G57" s="10"/>
    </row>
    <row r="58" ht="21.3" customHeight="1" spans="1:7">
      <c r="A58" s="4" t="s">
        <v>13</v>
      </c>
      <c r="B58" s="4" t="s">
        <v>14</v>
      </c>
      <c r="C58" s="10"/>
      <c r="D58" s="5"/>
      <c r="E58" s="4" t="s">
        <v>13</v>
      </c>
      <c r="F58" s="4" t="s">
        <v>14</v>
      </c>
      <c r="G58" s="10"/>
    </row>
    <row r="59" ht="21.3" customHeight="1" spans="1:7">
      <c r="A59" s="4" t="s">
        <v>15</v>
      </c>
      <c r="B59" s="4" t="s">
        <v>16</v>
      </c>
      <c r="C59" s="10"/>
      <c r="D59" s="5"/>
      <c r="E59" s="4" t="s">
        <v>15</v>
      </c>
      <c r="F59" s="4" t="s">
        <v>16</v>
      </c>
      <c r="G59" s="10"/>
    </row>
    <row r="60" ht="21.3" customHeight="1" spans="1:7">
      <c r="A60" s="4" t="s">
        <v>17</v>
      </c>
      <c r="B60" s="4" t="s">
        <v>16</v>
      </c>
      <c r="C60" s="10"/>
      <c r="D60" s="5"/>
      <c r="E60" s="4" t="s">
        <v>17</v>
      </c>
      <c r="F60" s="4" t="s">
        <v>16</v>
      </c>
      <c r="G60" s="10"/>
    </row>
    <row r="61" ht="21.3" customHeight="1" spans="1:7">
      <c r="A61" s="4" t="s">
        <v>18</v>
      </c>
      <c r="B61" s="4" t="s">
        <v>29</v>
      </c>
      <c r="C61" s="10"/>
      <c r="D61" s="5"/>
      <c r="E61" s="4" t="s">
        <v>18</v>
      </c>
      <c r="F61" s="4" t="s">
        <v>30</v>
      </c>
      <c r="G61" s="10"/>
    </row>
    <row r="62" ht="21.3" customHeight="1" spans="1:7">
      <c r="A62" s="4" t="s">
        <v>21</v>
      </c>
      <c r="B62" s="4" t="s">
        <v>22</v>
      </c>
      <c r="C62" s="12"/>
      <c r="D62" s="5"/>
      <c r="E62" s="4" t="s">
        <v>21</v>
      </c>
      <c r="F62" s="4" t="s">
        <v>22</v>
      </c>
      <c r="G62" s="12"/>
    </row>
    <row r="63" ht="29" customHeight="1" spans="1:7">
      <c r="A63" s="13"/>
      <c r="B63" s="13"/>
      <c r="C63" s="13"/>
      <c r="D63" s="13"/>
      <c r="E63" s="13"/>
      <c r="F63" s="13"/>
      <c r="G63" s="13"/>
    </row>
    <row r="64" ht="61.2" spans="1:7">
      <c r="A64" s="1" t="s">
        <v>0</v>
      </c>
      <c r="B64" s="1"/>
      <c r="C64" s="2"/>
      <c r="D64" s="3"/>
      <c r="E64" s="1" t="s">
        <v>0</v>
      </c>
      <c r="F64" s="1"/>
      <c r="G64" s="2"/>
    </row>
    <row r="65" ht="21.4" customHeight="1" spans="1:7">
      <c r="A65" s="4" t="s">
        <v>1</v>
      </c>
      <c r="B65" s="4" t="s">
        <v>2</v>
      </c>
      <c r="C65" s="4"/>
      <c r="D65" s="5"/>
      <c r="E65" s="4" t="s">
        <v>1</v>
      </c>
      <c r="F65" s="4" t="s">
        <v>2</v>
      </c>
      <c r="G65" s="4"/>
    </row>
    <row r="66" ht="21.4" customHeight="1" spans="1:7">
      <c r="A66" s="4" t="s">
        <v>3</v>
      </c>
      <c r="B66" s="6" t="s">
        <v>4</v>
      </c>
      <c r="C66" s="7"/>
      <c r="D66" s="5"/>
      <c r="E66" s="4" t="s">
        <v>3</v>
      </c>
      <c r="F66" s="6" t="s">
        <v>4</v>
      </c>
      <c r="G66" s="7"/>
    </row>
    <row r="67" ht="21.4" customHeight="1" spans="1:7">
      <c r="A67" s="4" t="s">
        <v>5</v>
      </c>
      <c r="B67" s="6" t="s">
        <v>6</v>
      </c>
      <c r="C67" s="7"/>
      <c r="D67" s="5"/>
      <c r="E67" s="4" t="s">
        <v>5</v>
      </c>
      <c r="F67" s="6" t="s">
        <v>6</v>
      </c>
      <c r="G67" s="7"/>
    </row>
    <row r="68" ht="21.4" customHeight="1" spans="1:7">
      <c r="A68" s="4" t="s">
        <v>7</v>
      </c>
      <c r="B68" s="6" t="s">
        <v>8</v>
      </c>
      <c r="C68" s="7"/>
      <c r="D68" s="5"/>
      <c r="E68" s="4" t="s">
        <v>7</v>
      </c>
      <c r="F68" s="6" t="s">
        <v>8</v>
      </c>
      <c r="G68" s="7"/>
    </row>
    <row r="69" ht="21.4" customHeight="1" spans="1:7">
      <c r="A69" s="4" t="s">
        <v>9</v>
      </c>
      <c r="B69" s="4" t="s">
        <v>10</v>
      </c>
      <c r="C69" s="8" t="str">
        <f>_xlfn.DISPIMG("ID_EFD660C353EA4508B61316C65E18F118",1)</f>
        <v>=DISPIMG("ID_EFD660C353EA4508B61316C65E18F118",1)</v>
      </c>
      <c r="D69" s="5"/>
      <c r="E69" s="4" t="s">
        <v>9</v>
      </c>
      <c r="F69" s="4" t="s">
        <v>10</v>
      </c>
      <c r="G69" s="8" t="str">
        <f>_xlfn.DISPIMG("ID_59E2F132375B46BEB75961FDB68B7446",1)</f>
        <v>=DISPIMG("ID_59E2F132375B46BEB75961FDB68B7446",1)</v>
      </c>
    </row>
    <row r="70" ht="21.4" customHeight="1" spans="1:7">
      <c r="A70" s="4" t="s">
        <v>11</v>
      </c>
      <c r="B70" s="9" t="s">
        <v>12</v>
      </c>
      <c r="C70" s="10"/>
      <c r="D70" s="5"/>
      <c r="E70" s="4" t="s">
        <v>11</v>
      </c>
      <c r="F70" s="9" t="s">
        <v>12</v>
      </c>
      <c r="G70" s="10"/>
    </row>
    <row r="71" ht="21.4" customHeight="1" spans="1:7">
      <c r="A71" s="4" t="s">
        <v>13</v>
      </c>
      <c r="B71" s="4" t="s">
        <v>14</v>
      </c>
      <c r="C71" s="10"/>
      <c r="D71" s="5"/>
      <c r="E71" s="4" t="s">
        <v>13</v>
      </c>
      <c r="F71" s="4" t="s">
        <v>14</v>
      </c>
      <c r="G71" s="10"/>
    </row>
    <row r="72" ht="21.4" customHeight="1" spans="1:7">
      <c r="A72" s="4" t="s">
        <v>15</v>
      </c>
      <c r="B72" s="4" t="s">
        <v>16</v>
      </c>
      <c r="C72" s="10"/>
      <c r="D72" s="5"/>
      <c r="E72" s="4" t="s">
        <v>15</v>
      </c>
      <c r="F72" s="4" t="s">
        <v>16</v>
      </c>
      <c r="G72" s="10"/>
    </row>
    <row r="73" ht="21.4" customHeight="1" spans="1:7">
      <c r="A73" s="4" t="s">
        <v>17</v>
      </c>
      <c r="B73" s="4" t="s">
        <v>16</v>
      </c>
      <c r="C73" s="10"/>
      <c r="D73" s="5"/>
      <c r="E73" s="4" t="s">
        <v>17</v>
      </c>
      <c r="F73" s="4" t="s">
        <v>16</v>
      </c>
      <c r="G73" s="10"/>
    </row>
    <row r="74" ht="21.4" customHeight="1" spans="1:7">
      <c r="A74" s="4" t="s">
        <v>18</v>
      </c>
      <c r="B74" s="4" t="s">
        <v>31</v>
      </c>
      <c r="C74" s="10"/>
      <c r="D74" s="5"/>
      <c r="E74" s="4" t="s">
        <v>18</v>
      </c>
      <c r="F74" s="4" t="s">
        <v>32</v>
      </c>
      <c r="G74" s="10"/>
    </row>
    <row r="75" ht="21.4" customHeight="1" spans="1:7">
      <c r="A75" s="4" t="s">
        <v>21</v>
      </c>
      <c r="B75" s="4" t="s">
        <v>22</v>
      </c>
      <c r="C75" s="12"/>
      <c r="D75" s="5"/>
      <c r="E75" s="4" t="s">
        <v>21</v>
      </c>
      <c r="F75" s="4" t="s">
        <v>22</v>
      </c>
      <c r="G75" s="12"/>
    </row>
    <row r="76" ht="61.2" spans="1:7">
      <c r="A76" s="1" t="s">
        <v>0</v>
      </c>
      <c r="B76" s="1"/>
      <c r="C76" s="2"/>
      <c r="D76" s="3"/>
      <c r="E76" s="1" t="s">
        <v>0</v>
      </c>
      <c r="F76" s="1"/>
      <c r="G76" s="2"/>
    </row>
    <row r="77" ht="21.3" customHeight="1" spans="1:7">
      <c r="A77" s="4" t="s">
        <v>1</v>
      </c>
      <c r="B77" s="4" t="s">
        <v>2</v>
      </c>
      <c r="C77" s="4"/>
      <c r="D77" s="5"/>
      <c r="E77" s="4" t="s">
        <v>1</v>
      </c>
      <c r="F77" s="4" t="s">
        <v>2</v>
      </c>
      <c r="G77" s="4"/>
    </row>
    <row r="78" ht="21.3" customHeight="1" spans="1:7">
      <c r="A78" s="4" t="s">
        <v>3</v>
      </c>
      <c r="B78" s="6" t="s">
        <v>4</v>
      </c>
      <c r="C78" s="7"/>
      <c r="D78" s="5"/>
      <c r="E78" s="4" t="s">
        <v>3</v>
      </c>
      <c r="F78" s="6" t="s">
        <v>4</v>
      </c>
      <c r="G78" s="7"/>
    </row>
    <row r="79" ht="21.3" customHeight="1" spans="1:7">
      <c r="A79" s="4" t="s">
        <v>5</v>
      </c>
      <c r="B79" s="6" t="s">
        <v>6</v>
      </c>
      <c r="C79" s="7"/>
      <c r="D79" s="5"/>
      <c r="E79" s="4" t="s">
        <v>5</v>
      </c>
      <c r="F79" s="6" t="s">
        <v>6</v>
      </c>
      <c r="G79" s="7"/>
    </row>
    <row r="80" ht="21.3" customHeight="1" spans="1:7">
      <c r="A80" s="4" t="s">
        <v>7</v>
      </c>
      <c r="B80" s="6" t="s">
        <v>8</v>
      </c>
      <c r="C80" s="7"/>
      <c r="D80" s="5"/>
      <c r="E80" s="4" t="s">
        <v>7</v>
      </c>
      <c r="F80" s="6" t="s">
        <v>8</v>
      </c>
      <c r="G80" s="7"/>
    </row>
    <row r="81" ht="21.3" customHeight="1" spans="1:7">
      <c r="A81" s="4" t="s">
        <v>9</v>
      </c>
      <c r="B81" s="4" t="s">
        <v>10</v>
      </c>
      <c r="C81" s="8" t="str">
        <f>_xlfn.DISPIMG("ID_7CD5908DB33940CB8FF299C80765DACA",1)</f>
        <v>=DISPIMG("ID_7CD5908DB33940CB8FF299C80765DACA",1)</v>
      </c>
      <c r="D81" s="5"/>
      <c r="E81" s="4" t="s">
        <v>9</v>
      </c>
      <c r="F81" s="4" t="s">
        <v>10</v>
      </c>
      <c r="G81" s="8" t="str">
        <f>_xlfn.DISPIMG("ID_5DB5BB4FA9F04D60B01C5C90DDAC8A46",1)</f>
        <v>=DISPIMG("ID_5DB5BB4FA9F04D60B01C5C90DDAC8A46",1)</v>
      </c>
    </row>
    <row r="82" ht="21.3" customHeight="1" spans="1:7">
      <c r="A82" s="4" t="s">
        <v>11</v>
      </c>
      <c r="B82" s="9" t="s">
        <v>12</v>
      </c>
      <c r="C82" s="10"/>
      <c r="D82" s="5"/>
      <c r="E82" s="4" t="s">
        <v>11</v>
      </c>
      <c r="F82" s="9" t="s">
        <v>12</v>
      </c>
      <c r="G82" s="10"/>
    </row>
    <row r="83" ht="21.3" customHeight="1" spans="1:7">
      <c r="A83" s="4" t="s">
        <v>13</v>
      </c>
      <c r="B83" s="4" t="s">
        <v>14</v>
      </c>
      <c r="C83" s="10"/>
      <c r="D83" s="5"/>
      <c r="E83" s="4" t="s">
        <v>13</v>
      </c>
      <c r="F83" s="4" t="s">
        <v>14</v>
      </c>
      <c r="G83" s="10"/>
    </row>
    <row r="84" ht="21.3" customHeight="1" spans="1:7">
      <c r="A84" s="4" t="s">
        <v>15</v>
      </c>
      <c r="B84" s="4" t="s">
        <v>16</v>
      </c>
      <c r="C84" s="10"/>
      <c r="D84" s="5"/>
      <c r="E84" s="4" t="s">
        <v>15</v>
      </c>
      <c r="F84" s="4" t="s">
        <v>16</v>
      </c>
      <c r="G84" s="10"/>
    </row>
    <row r="85" ht="21.3" customHeight="1" spans="1:7">
      <c r="A85" s="4" t="s">
        <v>17</v>
      </c>
      <c r="B85" s="4" t="s">
        <v>16</v>
      </c>
      <c r="C85" s="10"/>
      <c r="D85" s="5"/>
      <c r="E85" s="4" t="s">
        <v>17</v>
      </c>
      <c r="F85" s="4" t="s">
        <v>16</v>
      </c>
      <c r="G85" s="10"/>
    </row>
    <row r="86" ht="21.3" customHeight="1" spans="1:7">
      <c r="A86" s="4" t="s">
        <v>18</v>
      </c>
      <c r="B86" s="4" t="s">
        <v>33</v>
      </c>
      <c r="C86" s="10"/>
      <c r="D86" s="5"/>
      <c r="E86" s="4" t="s">
        <v>18</v>
      </c>
      <c r="F86" s="4" t="s">
        <v>34</v>
      </c>
      <c r="G86" s="10"/>
    </row>
    <row r="87" ht="21.3" customHeight="1" spans="1:7">
      <c r="A87" s="4" t="s">
        <v>21</v>
      </c>
      <c r="B87" s="4" t="s">
        <v>22</v>
      </c>
      <c r="C87" s="12"/>
      <c r="D87" s="5"/>
      <c r="E87" s="4" t="s">
        <v>21</v>
      </c>
      <c r="F87" s="4" t="s">
        <v>22</v>
      </c>
      <c r="G87" s="12"/>
    </row>
    <row r="88" ht="29" customHeight="1" spans="1:7">
      <c r="A88" s="13"/>
      <c r="B88" s="13"/>
      <c r="C88" s="13"/>
      <c r="D88" s="13"/>
      <c r="E88" s="13"/>
      <c r="F88" s="13"/>
      <c r="G88" s="13"/>
    </row>
    <row r="89" ht="61.2" spans="1:7">
      <c r="A89" s="1" t="s">
        <v>0</v>
      </c>
      <c r="B89" s="1"/>
      <c r="C89" s="2"/>
      <c r="D89" s="3"/>
      <c r="E89" s="1" t="s">
        <v>0</v>
      </c>
      <c r="F89" s="1"/>
      <c r="G89" s="2"/>
    </row>
    <row r="90" ht="21.4" customHeight="1" spans="1:7">
      <c r="A90" s="4" t="s">
        <v>1</v>
      </c>
      <c r="B90" s="4" t="s">
        <v>2</v>
      </c>
      <c r="C90" s="4"/>
      <c r="D90" s="5"/>
      <c r="E90" s="4" t="s">
        <v>1</v>
      </c>
      <c r="F90" s="4" t="s">
        <v>2</v>
      </c>
      <c r="G90" s="4"/>
    </row>
    <row r="91" ht="21.4" customHeight="1" spans="1:7">
      <c r="A91" s="4" t="s">
        <v>3</v>
      </c>
      <c r="B91" s="6" t="s">
        <v>4</v>
      </c>
      <c r="C91" s="7"/>
      <c r="D91" s="5"/>
      <c r="E91" s="4" t="s">
        <v>3</v>
      </c>
      <c r="F91" s="6" t="s">
        <v>4</v>
      </c>
      <c r="G91" s="7"/>
    </row>
    <row r="92" ht="21.4" customHeight="1" spans="1:7">
      <c r="A92" s="4" t="s">
        <v>5</v>
      </c>
      <c r="B92" s="6" t="s">
        <v>6</v>
      </c>
      <c r="C92" s="7"/>
      <c r="D92" s="5"/>
      <c r="E92" s="4" t="s">
        <v>5</v>
      </c>
      <c r="F92" s="6" t="s">
        <v>6</v>
      </c>
      <c r="G92" s="7"/>
    </row>
    <row r="93" ht="21.4" customHeight="1" spans="1:7">
      <c r="A93" s="4" t="s">
        <v>7</v>
      </c>
      <c r="B93" s="6" t="s">
        <v>8</v>
      </c>
      <c r="C93" s="7"/>
      <c r="D93" s="5"/>
      <c r="E93" s="4" t="s">
        <v>7</v>
      </c>
      <c r="F93" s="6" t="s">
        <v>8</v>
      </c>
      <c r="G93" s="7"/>
    </row>
    <row r="94" ht="21.4" customHeight="1" spans="1:7">
      <c r="A94" s="4" t="s">
        <v>9</v>
      </c>
      <c r="B94" s="4" t="s">
        <v>10</v>
      </c>
      <c r="C94" s="8" t="str">
        <f>_xlfn.DISPIMG("ID_F4AE7DA3F37C4B9DA7833A213ADE1551",1)</f>
        <v>=DISPIMG("ID_F4AE7DA3F37C4B9DA7833A213ADE1551",1)</v>
      </c>
      <c r="D94" s="5"/>
      <c r="E94" s="4" t="s">
        <v>9</v>
      </c>
      <c r="F94" s="4" t="s">
        <v>10</v>
      </c>
      <c r="G94" s="8" t="str">
        <f>_xlfn.DISPIMG("ID_438D3FA750BC421FA9F79756945ED45E",1)</f>
        <v>=DISPIMG("ID_438D3FA750BC421FA9F79756945ED45E",1)</v>
      </c>
    </row>
    <row r="95" ht="21.4" customHeight="1" spans="1:7">
      <c r="A95" s="4" t="s">
        <v>11</v>
      </c>
      <c r="B95" s="9" t="s">
        <v>12</v>
      </c>
      <c r="C95" s="10"/>
      <c r="D95" s="5"/>
      <c r="E95" s="4" t="s">
        <v>11</v>
      </c>
      <c r="F95" s="9" t="s">
        <v>12</v>
      </c>
      <c r="G95" s="10"/>
    </row>
    <row r="96" ht="21.4" customHeight="1" spans="1:7">
      <c r="A96" s="4" t="s">
        <v>13</v>
      </c>
      <c r="B96" s="4" t="s">
        <v>14</v>
      </c>
      <c r="C96" s="10"/>
      <c r="D96" s="5"/>
      <c r="E96" s="4" t="s">
        <v>13</v>
      </c>
      <c r="F96" s="4" t="s">
        <v>14</v>
      </c>
      <c r="G96" s="10"/>
    </row>
    <row r="97" ht="21.4" customHeight="1" spans="1:7">
      <c r="A97" s="4" t="s">
        <v>15</v>
      </c>
      <c r="B97" s="4" t="s">
        <v>16</v>
      </c>
      <c r="C97" s="10"/>
      <c r="D97" s="5"/>
      <c r="E97" s="4" t="s">
        <v>15</v>
      </c>
      <c r="F97" s="4" t="s">
        <v>16</v>
      </c>
      <c r="G97" s="10"/>
    </row>
    <row r="98" ht="21.4" customHeight="1" spans="1:7">
      <c r="A98" s="4" t="s">
        <v>17</v>
      </c>
      <c r="B98" s="4" t="s">
        <v>16</v>
      </c>
      <c r="C98" s="10"/>
      <c r="D98" s="5"/>
      <c r="E98" s="4" t="s">
        <v>17</v>
      </c>
      <c r="F98" s="4" t="s">
        <v>16</v>
      </c>
      <c r="G98" s="10"/>
    </row>
    <row r="99" ht="21.4" customHeight="1" spans="1:7">
      <c r="A99" s="4" t="s">
        <v>18</v>
      </c>
      <c r="B99" s="4" t="s">
        <v>35</v>
      </c>
      <c r="C99" s="10"/>
      <c r="D99" s="5"/>
      <c r="E99" s="4" t="s">
        <v>18</v>
      </c>
      <c r="F99" s="4" t="s">
        <v>36</v>
      </c>
      <c r="G99" s="10"/>
    </row>
    <row r="100" ht="21.4" customHeight="1" spans="1:7">
      <c r="A100" s="4" t="s">
        <v>21</v>
      </c>
      <c r="B100" s="4" t="s">
        <v>22</v>
      </c>
      <c r="C100" s="12"/>
      <c r="D100" s="5"/>
      <c r="E100" s="4" t="s">
        <v>21</v>
      </c>
      <c r="F100" s="4" t="s">
        <v>22</v>
      </c>
      <c r="G100" s="12"/>
    </row>
    <row r="101" ht="61.2" spans="1:7">
      <c r="A101" s="1" t="s">
        <v>0</v>
      </c>
      <c r="B101" s="1"/>
      <c r="C101" s="2"/>
      <c r="D101" s="3"/>
      <c r="E101" s="1" t="s">
        <v>0</v>
      </c>
      <c r="F101" s="1"/>
      <c r="G101" s="2"/>
    </row>
    <row r="102" ht="21.3" customHeight="1" spans="1:7">
      <c r="A102" s="4" t="s">
        <v>1</v>
      </c>
      <c r="B102" s="4" t="s">
        <v>2</v>
      </c>
      <c r="C102" s="4"/>
      <c r="D102" s="5"/>
      <c r="E102" s="4" t="s">
        <v>1</v>
      </c>
      <c r="F102" s="4" t="s">
        <v>2</v>
      </c>
      <c r="G102" s="4"/>
    </row>
    <row r="103" ht="21.3" customHeight="1" spans="1:7">
      <c r="A103" s="4" t="s">
        <v>3</v>
      </c>
      <c r="B103" s="6" t="s">
        <v>4</v>
      </c>
      <c r="C103" s="7"/>
      <c r="D103" s="5"/>
      <c r="E103" s="4" t="s">
        <v>3</v>
      </c>
      <c r="F103" s="6" t="s">
        <v>4</v>
      </c>
      <c r="G103" s="7"/>
    </row>
    <row r="104" ht="21.3" customHeight="1" spans="1:7">
      <c r="A104" s="4" t="s">
        <v>5</v>
      </c>
      <c r="B104" s="6" t="s">
        <v>6</v>
      </c>
      <c r="C104" s="7"/>
      <c r="D104" s="5"/>
      <c r="E104" s="4" t="s">
        <v>5</v>
      </c>
      <c r="F104" s="6" t="s">
        <v>6</v>
      </c>
      <c r="G104" s="7"/>
    </row>
    <row r="105" ht="21.3" customHeight="1" spans="1:7">
      <c r="A105" s="4" t="s">
        <v>7</v>
      </c>
      <c r="B105" s="6" t="s">
        <v>8</v>
      </c>
      <c r="C105" s="7"/>
      <c r="D105" s="5"/>
      <c r="E105" s="4" t="s">
        <v>7</v>
      </c>
      <c r="F105" s="6" t="s">
        <v>8</v>
      </c>
      <c r="G105" s="7"/>
    </row>
    <row r="106" ht="21.3" customHeight="1" spans="1:7">
      <c r="A106" s="4" t="s">
        <v>9</v>
      </c>
      <c r="B106" s="4" t="s">
        <v>10</v>
      </c>
      <c r="C106" s="8" t="str">
        <f>_xlfn.DISPIMG("ID_DA0573065A134C75ADC6A587BFADA898",1)</f>
        <v>=DISPIMG("ID_DA0573065A134C75ADC6A587BFADA898",1)</v>
      </c>
      <c r="D106" s="5"/>
      <c r="E106" s="4" t="s">
        <v>9</v>
      </c>
      <c r="F106" s="4" t="s">
        <v>10</v>
      </c>
      <c r="G106" s="8" t="str">
        <f>_xlfn.DISPIMG("ID_93F5F0DCF61040FCB5FF8A37440BC3EC",1)</f>
        <v>=DISPIMG("ID_93F5F0DCF61040FCB5FF8A37440BC3EC",1)</v>
      </c>
    </row>
    <row r="107" ht="21.3" customHeight="1" spans="1:7">
      <c r="A107" s="4" t="s">
        <v>11</v>
      </c>
      <c r="B107" s="9" t="s">
        <v>12</v>
      </c>
      <c r="C107" s="10"/>
      <c r="D107" s="5"/>
      <c r="E107" s="4" t="s">
        <v>11</v>
      </c>
      <c r="F107" s="9" t="s">
        <v>12</v>
      </c>
      <c r="G107" s="10"/>
    </row>
    <row r="108" ht="21.3" customHeight="1" spans="1:7">
      <c r="A108" s="4" t="s">
        <v>13</v>
      </c>
      <c r="B108" s="4" t="s">
        <v>14</v>
      </c>
      <c r="C108" s="10"/>
      <c r="D108" s="5"/>
      <c r="E108" s="4" t="s">
        <v>13</v>
      </c>
      <c r="F108" s="4" t="s">
        <v>14</v>
      </c>
      <c r="G108" s="10"/>
    </row>
    <row r="109" ht="21.3" customHeight="1" spans="1:7">
      <c r="A109" s="4" t="s">
        <v>15</v>
      </c>
      <c r="B109" s="4" t="s">
        <v>16</v>
      </c>
      <c r="C109" s="10"/>
      <c r="D109" s="5"/>
      <c r="E109" s="4" t="s">
        <v>15</v>
      </c>
      <c r="F109" s="4" t="s">
        <v>16</v>
      </c>
      <c r="G109" s="10"/>
    </row>
    <row r="110" ht="21.3" customHeight="1" spans="1:7">
      <c r="A110" s="4" t="s">
        <v>17</v>
      </c>
      <c r="B110" s="4" t="s">
        <v>16</v>
      </c>
      <c r="C110" s="10"/>
      <c r="D110" s="5"/>
      <c r="E110" s="4" t="s">
        <v>17</v>
      </c>
      <c r="F110" s="4" t="s">
        <v>16</v>
      </c>
      <c r="G110" s="10"/>
    </row>
    <row r="111" ht="21.3" customHeight="1" spans="1:7">
      <c r="A111" s="4" t="s">
        <v>18</v>
      </c>
      <c r="B111" s="4" t="s">
        <v>37</v>
      </c>
      <c r="C111" s="10"/>
      <c r="D111" s="5"/>
      <c r="E111" s="4" t="s">
        <v>18</v>
      </c>
      <c r="F111" s="4" t="s">
        <v>38</v>
      </c>
      <c r="G111" s="10"/>
    </row>
    <row r="112" ht="21.3" customHeight="1" spans="1:7">
      <c r="A112" s="4" t="s">
        <v>21</v>
      </c>
      <c r="B112" s="4" t="s">
        <v>22</v>
      </c>
      <c r="C112" s="12"/>
      <c r="D112" s="5"/>
      <c r="E112" s="4" t="s">
        <v>21</v>
      </c>
      <c r="F112" s="4" t="s">
        <v>22</v>
      </c>
      <c r="G112" s="12"/>
    </row>
    <row r="113" ht="29" customHeight="1" spans="1:7">
      <c r="A113" s="13"/>
      <c r="B113" s="13"/>
      <c r="C113" s="13"/>
      <c r="D113" s="13"/>
      <c r="E113" s="13"/>
      <c r="F113" s="13"/>
      <c r="G113" s="13"/>
    </row>
    <row r="114" ht="61.2" spans="1:7">
      <c r="A114" s="1" t="s">
        <v>0</v>
      </c>
      <c r="B114" s="1"/>
      <c r="C114" s="2"/>
      <c r="D114" s="3"/>
      <c r="E114" s="1" t="s">
        <v>0</v>
      </c>
      <c r="F114" s="1"/>
      <c r="G114" s="2"/>
    </row>
    <row r="115" ht="21.4" customHeight="1" spans="1:7">
      <c r="A115" s="4" t="s">
        <v>1</v>
      </c>
      <c r="B115" s="4" t="s">
        <v>2</v>
      </c>
      <c r="C115" s="4"/>
      <c r="D115" s="5"/>
      <c r="E115" s="4" t="s">
        <v>1</v>
      </c>
      <c r="F115" s="4" t="s">
        <v>2</v>
      </c>
      <c r="G115" s="4"/>
    </row>
    <row r="116" ht="21.4" customHeight="1" spans="1:7">
      <c r="A116" s="4" t="s">
        <v>3</v>
      </c>
      <c r="B116" s="6" t="s">
        <v>4</v>
      </c>
      <c r="C116" s="7"/>
      <c r="D116" s="5"/>
      <c r="E116" s="4" t="s">
        <v>3</v>
      </c>
      <c r="F116" s="6" t="s">
        <v>4</v>
      </c>
      <c r="G116" s="7"/>
    </row>
    <row r="117" ht="21.4" customHeight="1" spans="1:7">
      <c r="A117" s="4" t="s">
        <v>5</v>
      </c>
      <c r="B117" s="6" t="s">
        <v>6</v>
      </c>
      <c r="C117" s="7"/>
      <c r="D117" s="5"/>
      <c r="E117" s="4" t="s">
        <v>5</v>
      </c>
      <c r="F117" s="6" t="s">
        <v>6</v>
      </c>
      <c r="G117" s="7"/>
    </row>
    <row r="118" ht="21.4" customHeight="1" spans="1:7">
      <c r="A118" s="4" t="s">
        <v>7</v>
      </c>
      <c r="B118" s="6" t="s">
        <v>8</v>
      </c>
      <c r="C118" s="7"/>
      <c r="D118" s="5"/>
      <c r="E118" s="4" t="s">
        <v>7</v>
      </c>
      <c r="F118" s="6" t="s">
        <v>8</v>
      </c>
      <c r="G118" s="7"/>
    </row>
    <row r="119" ht="21.4" customHeight="1" spans="1:7">
      <c r="A119" s="4" t="s">
        <v>9</v>
      </c>
      <c r="B119" s="4" t="s">
        <v>10</v>
      </c>
      <c r="C119" s="8" t="str">
        <f>_xlfn.DISPIMG("ID_28253FFF786D4A419CA62B782812B210",1)</f>
        <v>=DISPIMG("ID_28253FFF786D4A419CA62B782812B210",1)</v>
      </c>
      <c r="D119" s="5"/>
      <c r="E119" s="4" t="s">
        <v>9</v>
      </c>
      <c r="F119" s="4" t="s">
        <v>10</v>
      </c>
      <c r="G119" s="8" t="str">
        <f>_xlfn.DISPIMG("ID_D234260638E04D339D874661E6A19293",1)</f>
        <v>=DISPIMG("ID_D234260638E04D339D874661E6A19293",1)</v>
      </c>
    </row>
    <row r="120" ht="21.4" customHeight="1" spans="1:7">
      <c r="A120" s="4" t="s">
        <v>11</v>
      </c>
      <c r="B120" s="9" t="s">
        <v>12</v>
      </c>
      <c r="C120" s="10"/>
      <c r="D120" s="5"/>
      <c r="E120" s="4" t="s">
        <v>11</v>
      </c>
      <c r="F120" s="9" t="s">
        <v>12</v>
      </c>
      <c r="G120" s="10"/>
    </row>
    <row r="121" ht="21.4" customHeight="1" spans="1:7">
      <c r="A121" s="4" t="s">
        <v>13</v>
      </c>
      <c r="B121" s="4" t="s">
        <v>14</v>
      </c>
      <c r="C121" s="10"/>
      <c r="D121" s="5"/>
      <c r="E121" s="4" t="s">
        <v>13</v>
      </c>
      <c r="F121" s="4" t="s">
        <v>14</v>
      </c>
      <c r="G121" s="10"/>
    </row>
    <row r="122" ht="21.4" customHeight="1" spans="1:7">
      <c r="A122" s="4" t="s">
        <v>15</v>
      </c>
      <c r="B122" s="4" t="s">
        <v>16</v>
      </c>
      <c r="C122" s="10"/>
      <c r="D122" s="5"/>
      <c r="E122" s="4" t="s">
        <v>15</v>
      </c>
      <c r="F122" s="4" t="s">
        <v>16</v>
      </c>
      <c r="G122" s="10"/>
    </row>
    <row r="123" ht="21.4" customHeight="1" spans="1:7">
      <c r="A123" s="4" t="s">
        <v>17</v>
      </c>
      <c r="B123" s="4" t="s">
        <v>16</v>
      </c>
      <c r="C123" s="10"/>
      <c r="D123" s="5"/>
      <c r="E123" s="4" t="s">
        <v>17</v>
      </c>
      <c r="F123" s="4" t="s">
        <v>16</v>
      </c>
      <c r="G123" s="10"/>
    </row>
    <row r="124" ht="21.4" customHeight="1" spans="1:7">
      <c r="A124" s="4" t="s">
        <v>18</v>
      </c>
      <c r="B124" s="4" t="s">
        <v>39</v>
      </c>
      <c r="C124" s="10"/>
      <c r="D124" s="5"/>
      <c r="E124" s="4" t="s">
        <v>18</v>
      </c>
      <c r="F124" s="4" t="s">
        <v>40</v>
      </c>
      <c r="G124" s="10"/>
    </row>
    <row r="125" ht="21.4" customHeight="1" spans="1:7">
      <c r="A125" s="4" t="s">
        <v>21</v>
      </c>
      <c r="B125" s="4" t="s">
        <v>22</v>
      </c>
      <c r="C125" s="12"/>
      <c r="D125" s="5"/>
      <c r="E125" s="4" t="s">
        <v>21</v>
      </c>
      <c r="F125" s="4" t="s">
        <v>22</v>
      </c>
      <c r="G125" s="12"/>
    </row>
    <row r="126" ht="61.2" spans="1:7">
      <c r="A126" s="1" t="s">
        <v>0</v>
      </c>
      <c r="B126" s="1"/>
      <c r="C126" s="2"/>
      <c r="D126" s="3"/>
      <c r="E126" s="1" t="s">
        <v>0</v>
      </c>
      <c r="F126" s="1"/>
      <c r="G126" s="2"/>
    </row>
    <row r="127" ht="21.3" customHeight="1" spans="1:7">
      <c r="A127" s="4" t="s">
        <v>1</v>
      </c>
      <c r="B127" s="4" t="s">
        <v>2</v>
      </c>
      <c r="C127" s="4"/>
      <c r="D127" s="5"/>
      <c r="E127" s="4" t="s">
        <v>1</v>
      </c>
      <c r="F127" s="4" t="s">
        <v>2</v>
      </c>
      <c r="G127" s="4"/>
    </row>
    <row r="128" ht="21.3" customHeight="1" spans="1:7">
      <c r="A128" s="4" t="s">
        <v>3</v>
      </c>
      <c r="B128" s="6" t="s">
        <v>4</v>
      </c>
      <c r="C128" s="7"/>
      <c r="D128" s="5"/>
      <c r="E128" s="4" t="s">
        <v>3</v>
      </c>
      <c r="F128" s="6" t="s">
        <v>4</v>
      </c>
      <c r="G128" s="7"/>
    </row>
    <row r="129" ht="21.3" customHeight="1" spans="1:7">
      <c r="A129" s="4" t="s">
        <v>5</v>
      </c>
      <c r="B129" s="6" t="s">
        <v>6</v>
      </c>
      <c r="C129" s="7"/>
      <c r="D129" s="5"/>
      <c r="E129" s="4" t="s">
        <v>5</v>
      </c>
      <c r="F129" s="6" t="s">
        <v>6</v>
      </c>
      <c r="G129" s="7"/>
    </row>
    <row r="130" ht="21.3" customHeight="1" spans="1:7">
      <c r="A130" s="4" t="s">
        <v>7</v>
      </c>
      <c r="B130" s="6" t="s">
        <v>8</v>
      </c>
      <c r="C130" s="7"/>
      <c r="D130" s="5"/>
      <c r="E130" s="4" t="s">
        <v>7</v>
      </c>
      <c r="F130" s="6" t="s">
        <v>8</v>
      </c>
      <c r="G130" s="7"/>
    </row>
    <row r="131" ht="21.3" customHeight="1" spans="1:7">
      <c r="A131" s="4" t="s">
        <v>9</v>
      </c>
      <c r="B131" s="4" t="s">
        <v>10</v>
      </c>
      <c r="C131" s="8" t="str">
        <f>_xlfn.DISPIMG("ID_0C5EA04476504D839C5BEA8C366CAAC5",1)</f>
        <v>=DISPIMG("ID_0C5EA04476504D839C5BEA8C366CAAC5",1)</v>
      </c>
      <c r="D131" s="5"/>
      <c r="E131" s="4" t="s">
        <v>9</v>
      </c>
      <c r="F131" s="4" t="s">
        <v>10</v>
      </c>
      <c r="G131" s="8" t="str">
        <f>_xlfn.DISPIMG("ID_9FADA52DA8B54FC79FBBC95EDAA295B6",1)</f>
        <v>=DISPIMG("ID_9FADA52DA8B54FC79FBBC95EDAA295B6",1)</v>
      </c>
    </row>
    <row r="132" ht="21.3" customHeight="1" spans="1:7">
      <c r="A132" s="4" t="s">
        <v>11</v>
      </c>
      <c r="B132" s="9" t="s">
        <v>12</v>
      </c>
      <c r="C132" s="10"/>
      <c r="D132" s="5"/>
      <c r="E132" s="4" t="s">
        <v>11</v>
      </c>
      <c r="F132" s="9" t="s">
        <v>12</v>
      </c>
      <c r="G132" s="10"/>
    </row>
    <row r="133" ht="21.3" customHeight="1" spans="1:7">
      <c r="A133" s="4" t="s">
        <v>13</v>
      </c>
      <c r="B133" s="4" t="s">
        <v>14</v>
      </c>
      <c r="C133" s="10"/>
      <c r="D133" s="5"/>
      <c r="E133" s="4" t="s">
        <v>13</v>
      </c>
      <c r="F133" s="4" t="s">
        <v>14</v>
      </c>
      <c r="G133" s="10"/>
    </row>
    <row r="134" ht="21.3" customHeight="1" spans="1:7">
      <c r="A134" s="4" t="s">
        <v>15</v>
      </c>
      <c r="B134" s="4" t="s">
        <v>16</v>
      </c>
      <c r="C134" s="10"/>
      <c r="D134" s="5"/>
      <c r="E134" s="4" t="s">
        <v>15</v>
      </c>
      <c r="F134" s="4" t="s">
        <v>16</v>
      </c>
      <c r="G134" s="10"/>
    </row>
    <row r="135" ht="21.3" customHeight="1" spans="1:7">
      <c r="A135" s="4" t="s">
        <v>17</v>
      </c>
      <c r="B135" s="4" t="s">
        <v>16</v>
      </c>
      <c r="C135" s="10"/>
      <c r="D135" s="5"/>
      <c r="E135" s="4" t="s">
        <v>17</v>
      </c>
      <c r="F135" s="4" t="s">
        <v>16</v>
      </c>
      <c r="G135" s="10"/>
    </row>
    <row r="136" ht="21.3" customHeight="1" spans="1:7">
      <c r="A136" s="4" t="s">
        <v>18</v>
      </c>
      <c r="B136" s="4" t="s">
        <v>41</v>
      </c>
      <c r="C136" s="10"/>
      <c r="D136" s="5"/>
      <c r="E136" s="4" t="s">
        <v>18</v>
      </c>
      <c r="F136" s="4" t="s">
        <v>42</v>
      </c>
      <c r="G136" s="10"/>
    </row>
    <row r="137" ht="21.3" customHeight="1" spans="1:7">
      <c r="A137" s="4" t="s">
        <v>21</v>
      </c>
      <c r="B137" s="4" t="s">
        <v>22</v>
      </c>
      <c r="C137" s="12"/>
      <c r="D137" s="5"/>
      <c r="E137" s="4" t="s">
        <v>21</v>
      </c>
      <c r="F137" s="4" t="s">
        <v>22</v>
      </c>
      <c r="G137" s="12"/>
    </row>
    <row r="138" ht="29" customHeight="1" spans="1:7">
      <c r="A138" s="13"/>
      <c r="B138" s="13"/>
      <c r="C138" s="13"/>
      <c r="D138" s="13"/>
      <c r="E138" s="13"/>
      <c r="F138" s="13"/>
      <c r="G138" s="13"/>
    </row>
    <row r="139" ht="61.2" spans="1:7">
      <c r="A139" s="1" t="s">
        <v>0</v>
      </c>
      <c r="B139" s="1"/>
      <c r="C139" s="2"/>
      <c r="D139" s="3"/>
      <c r="E139" s="1" t="s">
        <v>0</v>
      </c>
      <c r="F139" s="1"/>
      <c r="G139" s="2"/>
    </row>
    <row r="140" ht="21.4" customHeight="1" spans="1:7">
      <c r="A140" s="4" t="s">
        <v>1</v>
      </c>
      <c r="B140" s="4" t="s">
        <v>2</v>
      </c>
      <c r="C140" s="4"/>
      <c r="D140" s="5"/>
      <c r="E140" s="4" t="s">
        <v>1</v>
      </c>
      <c r="F140" s="4" t="s">
        <v>2</v>
      </c>
      <c r="G140" s="4"/>
    </row>
    <row r="141" ht="21.4" customHeight="1" spans="1:7">
      <c r="A141" s="4" t="s">
        <v>3</v>
      </c>
      <c r="B141" s="6" t="s">
        <v>4</v>
      </c>
      <c r="C141" s="7"/>
      <c r="D141" s="5"/>
      <c r="E141" s="4" t="s">
        <v>3</v>
      </c>
      <c r="F141" s="6" t="s">
        <v>4</v>
      </c>
      <c r="G141" s="7"/>
    </row>
    <row r="142" ht="21.4" customHeight="1" spans="1:7">
      <c r="A142" s="4" t="s">
        <v>5</v>
      </c>
      <c r="B142" s="6" t="s">
        <v>6</v>
      </c>
      <c r="C142" s="7"/>
      <c r="D142" s="5"/>
      <c r="E142" s="4" t="s">
        <v>5</v>
      </c>
      <c r="F142" s="6" t="s">
        <v>6</v>
      </c>
      <c r="G142" s="7"/>
    </row>
    <row r="143" ht="21.4" customHeight="1" spans="1:7">
      <c r="A143" s="4" t="s">
        <v>7</v>
      </c>
      <c r="B143" s="6" t="s">
        <v>8</v>
      </c>
      <c r="C143" s="7"/>
      <c r="D143" s="5"/>
      <c r="E143" s="4" t="s">
        <v>7</v>
      </c>
      <c r="F143" s="6" t="s">
        <v>8</v>
      </c>
      <c r="G143" s="7"/>
    </row>
    <row r="144" ht="21.4" customHeight="1" spans="1:7">
      <c r="A144" s="4" t="s">
        <v>9</v>
      </c>
      <c r="B144" s="4" t="s">
        <v>10</v>
      </c>
      <c r="C144" s="8" t="str">
        <f>_xlfn.DISPIMG("ID_0ABDEC7393CF4D6499138DA1D4E71FE8",1)</f>
        <v>=DISPIMG("ID_0ABDEC7393CF4D6499138DA1D4E71FE8",1)</v>
      </c>
      <c r="D144" s="5"/>
      <c r="E144" s="4" t="s">
        <v>9</v>
      </c>
      <c r="F144" s="4" t="s">
        <v>10</v>
      </c>
      <c r="G144" s="8" t="str">
        <f>_xlfn.DISPIMG("ID_438014B924524976A15CD3AE83CF0617",1)</f>
        <v>=DISPIMG("ID_438014B924524976A15CD3AE83CF0617",1)</v>
      </c>
    </row>
    <row r="145" ht="21.4" customHeight="1" spans="1:7">
      <c r="A145" s="4" t="s">
        <v>11</v>
      </c>
      <c r="B145" s="9" t="s">
        <v>12</v>
      </c>
      <c r="C145" s="10"/>
      <c r="D145" s="5"/>
      <c r="E145" s="4" t="s">
        <v>11</v>
      </c>
      <c r="F145" s="9" t="s">
        <v>12</v>
      </c>
      <c r="G145" s="10"/>
    </row>
    <row r="146" ht="21.4" customHeight="1" spans="1:7">
      <c r="A146" s="4" t="s">
        <v>13</v>
      </c>
      <c r="B146" s="4" t="s">
        <v>14</v>
      </c>
      <c r="C146" s="10"/>
      <c r="D146" s="5"/>
      <c r="E146" s="4" t="s">
        <v>13</v>
      </c>
      <c r="F146" s="4" t="s">
        <v>14</v>
      </c>
      <c r="G146" s="10"/>
    </row>
    <row r="147" ht="21.4" customHeight="1" spans="1:7">
      <c r="A147" s="4" t="s">
        <v>15</v>
      </c>
      <c r="B147" s="4" t="s">
        <v>16</v>
      </c>
      <c r="C147" s="10"/>
      <c r="D147" s="5"/>
      <c r="E147" s="4" t="s">
        <v>15</v>
      </c>
      <c r="F147" s="4" t="s">
        <v>16</v>
      </c>
      <c r="G147" s="10"/>
    </row>
    <row r="148" ht="21.4" customHeight="1" spans="1:7">
      <c r="A148" s="4" t="s">
        <v>17</v>
      </c>
      <c r="B148" s="4" t="s">
        <v>16</v>
      </c>
      <c r="C148" s="10"/>
      <c r="D148" s="5"/>
      <c r="E148" s="4" t="s">
        <v>17</v>
      </c>
      <c r="F148" s="4" t="s">
        <v>16</v>
      </c>
      <c r="G148" s="10"/>
    </row>
    <row r="149" ht="21.4" customHeight="1" spans="1:7">
      <c r="A149" s="4" t="s">
        <v>18</v>
      </c>
      <c r="B149" s="4" t="s">
        <v>43</v>
      </c>
      <c r="C149" s="10"/>
      <c r="D149" s="5"/>
      <c r="E149" s="4" t="s">
        <v>18</v>
      </c>
      <c r="F149" s="4" t="s">
        <v>44</v>
      </c>
      <c r="G149" s="10"/>
    </row>
    <row r="150" ht="21.4" customHeight="1" spans="1:7">
      <c r="A150" s="4" t="s">
        <v>21</v>
      </c>
      <c r="B150" s="4" t="s">
        <v>22</v>
      </c>
      <c r="C150" s="12"/>
      <c r="D150" s="5"/>
      <c r="E150" s="4" t="s">
        <v>21</v>
      </c>
      <c r="F150" s="4" t="s">
        <v>22</v>
      </c>
      <c r="G150" s="12"/>
    </row>
  </sheetData>
  <mergeCells count="120">
    <mergeCell ref="B2:C2"/>
    <mergeCell ref="F2:G2"/>
    <mergeCell ref="B3:C3"/>
    <mergeCell ref="F3:G3"/>
    <mergeCell ref="B4:C4"/>
    <mergeCell ref="F4:G4"/>
    <mergeCell ref="B5:C5"/>
    <mergeCell ref="F5:G5"/>
    <mergeCell ref="B15:C15"/>
    <mergeCell ref="F15:G15"/>
    <mergeCell ref="B16:C16"/>
    <mergeCell ref="F16:G16"/>
    <mergeCell ref="B17:C17"/>
    <mergeCell ref="F17:G17"/>
    <mergeCell ref="B18:C18"/>
    <mergeCell ref="F18:G18"/>
    <mergeCell ref="B27:C27"/>
    <mergeCell ref="F27:G27"/>
    <mergeCell ref="B28:C28"/>
    <mergeCell ref="F28:G28"/>
    <mergeCell ref="B29:C29"/>
    <mergeCell ref="F29:G29"/>
    <mergeCell ref="B30:C30"/>
    <mergeCell ref="F30:G30"/>
    <mergeCell ref="B40:C40"/>
    <mergeCell ref="F40:G40"/>
    <mergeCell ref="B41:C41"/>
    <mergeCell ref="F41:G41"/>
    <mergeCell ref="B42:C42"/>
    <mergeCell ref="F42:G42"/>
    <mergeCell ref="B43:C43"/>
    <mergeCell ref="F43:G43"/>
    <mergeCell ref="B52:C52"/>
    <mergeCell ref="F52:G52"/>
    <mergeCell ref="B53:C53"/>
    <mergeCell ref="F53:G53"/>
    <mergeCell ref="B54:C54"/>
    <mergeCell ref="F54:G54"/>
    <mergeCell ref="B55:C55"/>
    <mergeCell ref="F55:G55"/>
    <mergeCell ref="B65:C65"/>
    <mergeCell ref="F65:G65"/>
    <mergeCell ref="B66:C66"/>
    <mergeCell ref="F66:G66"/>
    <mergeCell ref="B67:C67"/>
    <mergeCell ref="F67:G67"/>
    <mergeCell ref="B68:C68"/>
    <mergeCell ref="F68:G68"/>
    <mergeCell ref="B77:C77"/>
    <mergeCell ref="F77:G77"/>
    <mergeCell ref="B78:C78"/>
    <mergeCell ref="F78:G78"/>
    <mergeCell ref="B79:C79"/>
    <mergeCell ref="F79:G79"/>
    <mergeCell ref="B80:C80"/>
    <mergeCell ref="F80:G80"/>
    <mergeCell ref="B90:C90"/>
    <mergeCell ref="F90:G90"/>
    <mergeCell ref="B91:C91"/>
    <mergeCell ref="F91:G91"/>
    <mergeCell ref="B92:C92"/>
    <mergeCell ref="F92:G92"/>
    <mergeCell ref="B93:C93"/>
    <mergeCell ref="F93:G93"/>
    <mergeCell ref="B102:C102"/>
    <mergeCell ref="F102:G102"/>
    <mergeCell ref="B103:C103"/>
    <mergeCell ref="F103:G103"/>
    <mergeCell ref="B104:C104"/>
    <mergeCell ref="F104:G104"/>
    <mergeCell ref="B105:C105"/>
    <mergeCell ref="F105:G105"/>
    <mergeCell ref="B115:C115"/>
    <mergeCell ref="F115:G115"/>
    <mergeCell ref="B116:C116"/>
    <mergeCell ref="F116:G116"/>
    <mergeCell ref="B117:C117"/>
    <mergeCell ref="F117:G117"/>
    <mergeCell ref="B118:C118"/>
    <mergeCell ref="F118:G118"/>
    <mergeCell ref="B127:C127"/>
    <mergeCell ref="F127:G127"/>
    <mergeCell ref="B128:C128"/>
    <mergeCell ref="F128:G128"/>
    <mergeCell ref="B129:C129"/>
    <mergeCell ref="F129:G129"/>
    <mergeCell ref="B130:C130"/>
    <mergeCell ref="F130:G130"/>
    <mergeCell ref="B140:C140"/>
    <mergeCell ref="F140:G140"/>
    <mergeCell ref="B141:C141"/>
    <mergeCell ref="F141:G141"/>
    <mergeCell ref="B142:C142"/>
    <mergeCell ref="F142:G142"/>
    <mergeCell ref="B143:C143"/>
    <mergeCell ref="F143:G143"/>
    <mergeCell ref="C6:C12"/>
    <mergeCell ref="C19:C25"/>
    <mergeCell ref="C31:C37"/>
    <mergeCell ref="C44:C50"/>
    <mergeCell ref="C56:C62"/>
    <mergeCell ref="C69:C75"/>
    <mergeCell ref="C81:C87"/>
    <mergeCell ref="C94:C100"/>
    <mergeCell ref="C106:C112"/>
    <mergeCell ref="C119:C125"/>
    <mergeCell ref="C131:C137"/>
    <mergeCell ref="C144:C150"/>
    <mergeCell ref="G6:G12"/>
    <mergeCell ref="G19:G25"/>
    <mergeCell ref="G31:G37"/>
    <mergeCell ref="G44:G50"/>
    <mergeCell ref="G56:G62"/>
    <mergeCell ref="G69:G75"/>
    <mergeCell ref="G81:G87"/>
    <mergeCell ref="G94:G100"/>
    <mergeCell ref="G106:G112"/>
    <mergeCell ref="G119:G125"/>
    <mergeCell ref="G131:G137"/>
    <mergeCell ref="G144:G150"/>
  </mergeCells>
  <pageMargins left="0.75" right="0.75" top="1" bottom="1" header="0.5" footer="0.5"/>
  <pageSetup paperSize="9" scale="75" fitToHeight="0" orientation="landscape"/>
  <headerFooter/>
  <rowBreaks count="4" manualBreakCount="4">
    <brk id="25" max="6" man="1"/>
    <brk id="75" max="16383" man="1"/>
    <brk id="100" max="16383" man="1"/>
    <brk id="125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abSelected="1" view="pageBreakPreview" zoomScale="90" zoomScaleNormal="100" topLeftCell="A139" workbookViewId="0">
      <selection activeCell="G144" sqref="G144:G150"/>
    </sheetView>
  </sheetViews>
  <sheetFormatPr defaultColWidth="9" defaultRowHeight="15.6"/>
  <cols>
    <col min="1" max="1" width="17.5" customWidth="1"/>
    <col min="2" max="2" width="24.25" customWidth="1"/>
    <col min="3" max="3" width="28.625" customWidth="1"/>
    <col min="5" max="5" width="20.125" customWidth="1"/>
    <col min="6" max="6" width="25" customWidth="1"/>
    <col min="7" max="7" width="29.625" customWidth="1"/>
  </cols>
  <sheetData>
    <row r="1" ht="61.2" spans="1:9">
      <c r="A1" s="1" t="s">
        <v>0</v>
      </c>
      <c r="B1" s="1"/>
      <c r="C1" s="2"/>
      <c r="D1" s="3"/>
      <c r="E1" s="1" t="s">
        <v>0</v>
      </c>
      <c r="F1" s="1"/>
      <c r="G1" s="2"/>
    </row>
    <row r="2" ht="21.3" customHeight="1" spans="1:9">
      <c r="A2" s="4" t="s">
        <v>1</v>
      </c>
      <c r="B2" s="4" t="s">
        <v>2</v>
      </c>
      <c r="C2" s="4"/>
      <c r="D2" s="5"/>
      <c r="E2" s="4" t="s">
        <v>1</v>
      </c>
      <c r="F2" s="4" t="s">
        <v>2</v>
      </c>
      <c r="G2" s="4"/>
    </row>
    <row r="3" ht="21.3" customHeight="1" spans="1:9">
      <c r="A3" s="4" t="s">
        <v>3</v>
      </c>
      <c r="B3" s="6" t="s">
        <v>4</v>
      </c>
      <c r="C3" s="7"/>
      <c r="D3" s="5"/>
      <c r="E3" s="4" t="s">
        <v>3</v>
      </c>
      <c r="F3" s="6" t="s">
        <v>4</v>
      </c>
      <c r="G3" s="7"/>
    </row>
    <row r="4" ht="21.3" customHeight="1" spans="1:9">
      <c r="A4" s="4" t="s">
        <v>5</v>
      </c>
      <c r="B4" s="6" t="s">
        <v>6</v>
      </c>
      <c r="C4" s="7"/>
      <c r="D4" s="5"/>
      <c r="E4" s="4" t="s">
        <v>5</v>
      </c>
      <c r="F4" s="6" t="s">
        <v>6</v>
      </c>
      <c r="G4" s="7"/>
    </row>
    <row r="5" ht="21.3" customHeight="1" spans="1:9">
      <c r="A5" s="4" t="s">
        <v>7</v>
      </c>
      <c r="B5" s="6" t="s">
        <v>8</v>
      </c>
      <c r="C5" s="7"/>
      <c r="D5" s="5"/>
      <c r="E5" s="4" t="s">
        <v>7</v>
      </c>
      <c r="F5" s="6" t="s">
        <v>8</v>
      </c>
      <c r="G5" s="7"/>
    </row>
    <row r="6" ht="21.3" customHeight="1" spans="1:9">
      <c r="A6" s="4" t="s">
        <v>9</v>
      </c>
      <c r="B6" s="4" t="s">
        <v>10</v>
      </c>
      <c r="C6" s="8" t="str">
        <f>_xlfn.DISPIMG("ID_978146951FA64BEBB55023B9397CD23B",1)</f>
        <v>=DISPIMG("ID_978146951FA64BEBB55023B9397CD23B",1)</v>
      </c>
      <c r="D6" s="5"/>
      <c r="E6" s="4" t="s">
        <v>9</v>
      </c>
      <c r="F6" s="4" t="s">
        <v>10</v>
      </c>
      <c r="G6" s="8" t="str">
        <f>_xlfn.DISPIMG("ID_99CA57901F8D43318928B984E3AF202F",1)</f>
        <v>=DISPIMG("ID_99CA57901F8D43318928B984E3AF202F",1)</v>
      </c>
    </row>
    <row r="7" ht="21.3" customHeight="1" spans="1:9">
      <c r="A7" s="4" t="s">
        <v>11</v>
      </c>
      <c r="B7" s="9" t="s">
        <v>12</v>
      </c>
      <c r="C7" s="10"/>
      <c r="D7" s="5"/>
      <c r="E7" s="4" t="s">
        <v>11</v>
      </c>
      <c r="F7" s="9" t="s">
        <v>12</v>
      </c>
      <c r="G7" s="10"/>
    </row>
    <row r="8" ht="21.3" customHeight="1" spans="1:9">
      <c r="A8" s="4" t="s">
        <v>13</v>
      </c>
      <c r="B8" s="4" t="s">
        <v>14</v>
      </c>
      <c r="C8" s="10"/>
      <c r="D8" s="5"/>
      <c r="E8" s="4" t="s">
        <v>13</v>
      </c>
      <c r="F8" s="4" t="s">
        <v>14</v>
      </c>
      <c r="G8" s="10"/>
    </row>
    <row r="9" ht="21.3" customHeight="1" spans="1:9">
      <c r="A9" s="4" t="s">
        <v>15</v>
      </c>
      <c r="B9" s="4" t="s">
        <v>16</v>
      </c>
      <c r="C9" s="10"/>
      <c r="D9" s="5"/>
      <c r="E9" s="4" t="s">
        <v>15</v>
      </c>
      <c r="F9" s="4" t="s">
        <v>16</v>
      </c>
      <c r="G9" s="10"/>
    </row>
    <row r="10" ht="21.3" customHeight="1" spans="1:9">
      <c r="A10" s="4" t="s">
        <v>17</v>
      </c>
      <c r="B10" s="4" t="s">
        <v>16</v>
      </c>
      <c r="C10" s="10"/>
      <c r="D10" s="5"/>
      <c r="E10" s="4" t="s">
        <v>17</v>
      </c>
      <c r="F10" s="4" t="s">
        <v>16</v>
      </c>
      <c r="G10" s="10"/>
      <c r="I10" s="11"/>
    </row>
    <row r="11" ht="21.3" customHeight="1" spans="1:9">
      <c r="A11" s="4" t="s">
        <v>18</v>
      </c>
      <c r="B11" s="4" t="s">
        <v>45</v>
      </c>
      <c r="C11" s="10"/>
      <c r="D11" s="5"/>
      <c r="E11" s="4" t="s">
        <v>18</v>
      </c>
      <c r="F11" s="4" t="s">
        <v>46</v>
      </c>
      <c r="G11" s="10"/>
    </row>
    <row r="12" ht="21.3" customHeight="1" spans="1:9">
      <c r="A12" s="4" t="s">
        <v>21</v>
      </c>
      <c r="B12" s="4" t="s">
        <v>22</v>
      </c>
      <c r="C12" s="12"/>
      <c r="D12" s="5"/>
      <c r="E12" s="4" t="s">
        <v>21</v>
      </c>
      <c r="F12" s="4" t="s">
        <v>22</v>
      </c>
      <c r="G12" s="12"/>
    </row>
    <row r="13" ht="29" customHeight="1" spans="1:9">
      <c r="A13" s="13"/>
      <c r="B13" s="13"/>
      <c r="C13" s="13"/>
      <c r="D13" s="13"/>
      <c r="E13" s="13"/>
      <c r="F13" s="13"/>
      <c r="G13" s="13"/>
    </row>
    <row r="14" ht="61.2" spans="1:9">
      <c r="A14" s="1" t="s">
        <v>0</v>
      </c>
      <c r="B14" s="1"/>
      <c r="C14" s="2"/>
      <c r="D14" s="3"/>
      <c r="E14" s="1" t="s">
        <v>0</v>
      </c>
      <c r="F14" s="1"/>
      <c r="G14" s="2"/>
    </row>
    <row r="15" ht="21.3" customHeight="1" spans="1:9">
      <c r="A15" s="4" t="s">
        <v>1</v>
      </c>
      <c r="B15" s="4" t="s">
        <v>2</v>
      </c>
      <c r="C15" s="4"/>
      <c r="D15" s="5"/>
      <c r="E15" s="4" t="s">
        <v>1</v>
      </c>
      <c r="F15" s="4" t="s">
        <v>2</v>
      </c>
      <c r="G15" s="4"/>
    </row>
    <row r="16" ht="21.3" customHeight="1" spans="1:9">
      <c r="A16" s="4" t="s">
        <v>3</v>
      </c>
      <c r="B16" s="6" t="s">
        <v>4</v>
      </c>
      <c r="C16" s="7"/>
      <c r="D16" s="5"/>
      <c r="E16" s="4" t="s">
        <v>3</v>
      </c>
      <c r="F16" s="6" t="s">
        <v>4</v>
      </c>
      <c r="G16" s="7"/>
    </row>
    <row r="17" ht="21.3" customHeight="1" spans="1:7">
      <c r="A17" s="4" t="s">
        <v>5</v>
      </c>
      <c r="B17" s="6" t="s">
        <v>6</v>
      </c>
      <c r="C17" s="7"/>
      <c r="D17" s="5"/>
      <c r="E17" s="4" t="s">
        <v>5</v>
      </c>
      <c r="F17" s="6" t="s">
        <v>6</v>
      </c>
      <c r="G17" s="7"/>
    </row>
    <row r="18" ht="21.3" customHeight="1" spans="1:7">
      <c r="A18" s="4" t="s">
        <v>7</v>
      </c>
      <c r="B18" s="6" t="s">
        <v>8</v>
      </c>
      <c r="C18" s="7"/>
      <c r="D18" s="5"/>
      <c r="E18" s="4" t="s">
        <v>7</v>
      </c>
      <c r="F18" s="6" t="s">
        <v>8</v>
      </c>
      <c r="G18" s="7"/>
    </row>
    <row r="19" ht="21.3" customHeight="1" spans="1:7">
      <c r="A19" s="4" t="s">
        <v>9</v>
      </c>
      <c r="B19" s="4" t="s">
        <v>10</v>
      </c>
      <c r="C19" s="8" t="str">
        <f>_xlfn.DISPIMG("ID_681DBE3E4C194BDCB5FB04ACC6D0516D",1)</f>
        <v>=DISPIMG("ID_681DBE3E4C194BDCB5FB04ACC6D0516D",1)</v>
      </c>
      <c r="D19" s="5"/>
      <c r="E19" s="4" t="s">
        <v>9</v>
      </c>
      <c r="F19" s="4" t="s">
        <v>10</v>
      </c>
      <c r="G19" s="8" t="str">
        <f>_xlfn.DISPIMG("ID_66596B642CE04E378139FBC72D1E8554",1)</f>
        <v>=DISPIMG("ID_66596B642CE04E378139FBC72D1E8554",1)</v>
      </c>
    </row>
    <row r="20" ht="21.3" customHeight="1" spans="1:7">
      <c r="A20" s="4" t="s">
        <v>11</v>
      </c>
      <c r="B20" s="9" t="s">
        <v>12</v>
      </c>
      <c r="C20" s="10"/>
      <c r="D20" s="5"/>
      <c r="E20" s="4" t="s">
        <v>11</v>
      </c>
      <c r="F20" s="9" t="s">
        <v>12</v>
      </c>
      <c r="G20" s="10"/>
    </row>
    <row r="21" ht="21.3" customHeight="1" spans="1:7">
      <c r="A21" s="4" t="s">
        <v>13</v>
      </c>
      <c r="B21" s="4" t="s">
        <v>14</v>
      </c>
      <c r="C21" s="10"/>
      <c r="D21" s="5"/>
      <c r="E21" s="4" t="s">
        <v>13</v>
      </c>
      <c r="F21" s="4" t="s">
        <v>14</v>
      </c>
      <c r="G21" s="10"/>
    </row>
    <row r="22" ht="21.3" customHeight="1" spans="1:7">
      <c r="A22" s="4" t="s">
        <v>15</v>
      </c>
      <c r="B22" s="4" t="s">
        <v>16</v>
      </c>
      <c r="C22" s="10"/>
      <c r="D22" s="5"/>
      <c r="E22" s="4" t="s">
        <v>15</v>
      </c>
      <c r="F22" s="4" t="s">
        <v>16</v>
      </c>
      <c r="G22" s="10"/>
    </row>
    <row r="23" ht="21.3" customHeight="1" spans="1:7">
      <c r="A23" s="4" t="s">
        <v>17</v>
      </c>
      <c r="B23" s="4" t="s">
        <v>16</v>
      </c>
      <c r="C23" s="10"/>
      <c r="D23" s="5"/>
      <c r="E23" s="4" t="s">
        <v>17</v>
      </c>
      <c r="F23" s="4" t="s">
        <v>16</v>
      </c>
      <c r="G23" s="10"/>
    </row>
    <row r="24" ht="21.3" customHeight="1" spans="1:7">
      <c r="A24" s="4" t="s">
        <v>18</v>
      </c>
      <c r="B24" s="4" t="s">
        <v>47</v>
      </c>
      <c r="C24" s="10"/>
      <c r="D24" s="5"/>
      <c r="E24" s="4" t="s">
        <v>18</v>
      </c>
      <c r="F24" s="4" t="s">
        <v>48</v>
      </c>
      <c r="G24" s="10"/>
    </row>
    <row r="25" ht="21.3" customHeight="1" spans="1:7">
      <c r="A25" s="4" t="s">
        <v>21</v>
      </c>
      <c r="B25" s="4" t="s">
        <v>22</v>
      </c>
      <c r="C25" s="12"/>
      <c r="D25" s="5"/>
      <c r="E25" s="4" t="s">
        <v>21</v>
      </c>
      <c r="F25" s="4" t="s">
        <v>22</v>
      </c>
      <c r="G25" s="12"/>
    </row>
    <row r="26" ht="61.2" spans="1:7">
      <c r="A26" s="1" t="s">
        <v>0</v>
      </c>
      <c r="B26" s="1"/>
      <c r="C26" s="2"/>
      <c r="D26" s="3"/>
      <c r="E26" s="1" t="s">
        <v>0</v>
      </c>
      <c r="F26" s="1"/>
      <c r="G26" s="2"/>
    </row>
    <row r="27" ht="21.3" customHeight="1" spans="1:7">
      <c r="A27" s="4" t="s">
        <v>1</v>
      </c>
      <c r="B27" s="4" t="s">
        <v>2</v>
      </c>
      <c r="C27" s="4"/>
      <c r="D27" s="5"/>
      <c r="E27" s="4" t="s">
        <v>1</v>
      </c>
      <c r="F27" s="4" t="s">
        <v>2</v>
      </c>
      <c r="G27" s="4"/>
    </row>
    <row r="28" ht="21.3" customHeight="1" spans="1:7">
      <c r="A28" s="4" t="s">
        <v>3</v>
      </c>
      <c r="B28" s="6" t="s">
        <v>4</v>
      </c>
      <c r="C28" s="7"/>
      <c r="D28" s="5"/>
      <c r="E28" s="4" t="s">
        <v>3</v>
      </c>
      <c r="F28" s="6" t="s">
        <v>4</v>
      </c>
      <c r="G28" s="7"/>
    </row>
    <row r="29" ht="21.3" customHeight="1" spans="1:7">
      <c r="A29" s="4" t="s">
        <v>5</v>
      </c>
      <c r="B29" s="6" t="s">
        <v>6</v>
      </c>
      <c r="C29" s="7"/>
      <c r="D29" s="5"/>
      <c r="E29" s="4" t="s">
        <v>5</v>
      </c>
      <c r="F29" s="6" t="s">
        <v>6</v>
      </c>
      <c r="G29" s="7"/>
    </row>
    <row r="30" ht="21.3" customHeight="1" spans="1:7">
      <c r="A30" s="4" t="s">
        <v>7</v>
      </c>
      <c r="B30" s="6" t="s">
        <v>8</v>
      </c>
      <c r="C30" s="7"/>
      <c r="D30" s="5"/>
      <c r="E30" s="4" t="s">
        <v>7</v>
      </c>
      <c r="F30" s="6" t="s">
        <v>8</v>
      </c>
      <c r="G30" s="7"/>
    </row>
    <row r="31" ht="21.3" customHeight="1" spans="1:7">
      <c r="A31" s="4" t="s">
        <v>9</v>
      </c>
      <c r="B31" s="4" t="s">
        <v>10</v>
      </c>
      <c r="C31" s="8" t="str">
        <f>_xlfn.DISPIMG("ID_A9E7D3680CDA496993AFC71B83B35CCC",1)</f>
        <v>=DISPIMG("ID_A9E7D3680CDA496993AFC71B83B35CCC",1)</v>
      </c>
      <c r="D31" s="5"/>
      <c r="E31" s="4" t="s">
        <v>9</v>
      </c>
      <c r="F31" s="4" t="s">
        <v>10</v>
      </c>
      <c r="G31" s="8" t="str">
        <f>_xlfn.DISPIMG("ID_BABD508CB7A44BCFA002D9066FA74859",1)</f>
        <v>=DISPIMG("ID_BABD508CB7A44BCFA002D9066FA74859",1)</v>
      </c>
    </row>
    <row r="32" ht="21.3" customHeight="1" spans="1:7">
      <c r="A32" s="4" t="s">
        <v>11</v>
      </c>
      <c r="B32" s="9" t="s">
        <v>12</v>
      </c>
      <c r="C32" s="10"/>
      <c r="D32" s="5"/>
      <c r="E32" s="4" t="s">
        <v>11</v>
      </c>
      <c r="F32" s="9" t="s">
        <v>12</v>
      </c>
      <c r="G32" s="10"/>
    </row>
    <row r="33" ht="21.3" customHeight="1" spans="1:7">
      <c r="A33" s="4" t="s">
        <v>13</v>
      </c>
      <c r="B33" s="4" t="s">
        <v>14</v>
      </c>
      <c r="C33" s="10"/>
      <c r="D33" s="5"/>
      <c r="E33" s="4" t="s">
        <v>13</v>
      </c>
      <c r="F33" s="4" t="s">
        <v>14</v>
      </c>
      <c r="G33" s="10"/>
    </row>
    <row r="34" ht="21.3" customHeight="1" spans="1:7">
      <c r="A34" s="4" t="s">
        <v>15</v>
      </c>
      <c r="B34" s="4" t="s">
        <v>16</v>
      </c>
      <c r="C34" s="10"/>
      <c r="D34" s="5"/>
      <c r="E34" s="4" t="s">
        <v>15</v>
      </c>
      <c r="F34" s="4" t="s">
        <v>16</v>
      </c>
      <c r="G34" s="10"/>
    </row>
    <row r="35" ht="21.3" customHeight="1" spans="1:7">
      <c r="A35" s="4" t="s">
        <v>17</v>
      </c>
      <c r="B35" s="4" t="s">
        <v>16</v>
      </c>
      <c r="C35" s="10"/>
      <c r="D35" s="5"/>
      <c r="E35" s="4" t="s">
        <v>17</v>
      </c>
      <c r="F35" s="4" t="s">
        <v>16</v>
      </c>
      <c r="G35" s="10"/>
    </row>
    <row r="36" ht="21.3" customHeight="1" spans="1:7">
      <c r="A36" s="4" t="s">
        <v>18</v>
      </c>
      <c r="B36" s="4" t="s">
        <v>49</v>
      </c>
      <c r="C36" s="10"/>
      <c r="D36" s="5"/>
      <c r="E36" s="4" t="s">
        <v>18</v>
      </c>
      <c r="F36" s="4" t="s">
        <v>50</v>
      </c>
      <c r="G36" s="10"/>
    </row>
    <row r="37" ht="21.3" customHeight="1" spans="1:7">
      <c r="A37" s="4" t="s">
        <v>21</v>
      </c>
      <c r="B37" s="4" t="s">
        <v>22</v>
      </c>
      <c r="C37" s="12"/>
      <c r="D37" s="5"/>
      <c r="E37" s="4" t="s">
        <v>21</v>
      </c>
      <c r="F37" s="4" t="s">
        <v>22</v>
      </c>
      <c r="G37" s="12"/>
    </row>
    <row r="38" ht="29" customHeight="1" spans="1:7">
      <c r="A38" s="13"/>
      <c r="B38" s="13"/>
      <c r="C38" s="13"/>
      <c r="D38" s="13"/>
      <c r="E38" s="13"/>
      <c r="F38" s="13"/>
      <c r="G38" s="13"/>
    </row>
    <row r="39" ht="61.2" spans="1:7">
      <c r="A39" s="1" t="s">
        <v>0</v>
      </c>
      <c r="B39" s="1"/>
      <c r="C39" s="2"/>
      <c r="D39" s="3"/>
      <c r="E39" s="1" t="s">
        <v>0</v>
      </c>
      <c r="F39" s="1"/>
      <c r="G39" s="2"/>
    </row>
    <row r="40" ht="21.4" customHeight="1" spans="1:7">
      <c r="A40" s="4" t="s">
        <v>1</v>
      </c>
      <c r="B40" s="4" t="s">
        <v>2</v>
      </c>
      <c r="C40" s="4"/>
      <c r="D40" s="5"/>
      <c r="E40" s="4" t="s">
        <v>1</v>
      </c>
      <c r="F40" s="4" t="s">
        <v>2</v>
      </c>
      <c r="G40" s="4"/>
    </row>
    <row r="41" ht="21.4" customHeight="1" spans="1:7">
      <c r="A41" s="4" t="s">
        <v>3</v>
      </c>
      <c r="B41" s="6" t="s">
        <v>4</v>
      </c>
      <c r="C41" s="7"/>
      <c r="D41" s="5"/>
      <c r="E41" s="4" t="s">
        <v>3</v>
      </c>
      <c r="F41" s="6" t="s">
        <v>4</v>
      </c>
      <c r="G41" s="7"/>
    </row>
    <row r="42" ht="21.4" customHeight="1" spans="1:7">
      <c r="A42" s="4" t="s">
        <v>5</v>
      </c>
      <c r="B42" s="6" t="s">
        <v>6</v>
      </c>
      <c r="C42" s="7"/>
      <c r="D42" s="5"/>
      <c r="E42" s="4" t="s">
        <v>5</v>
      </c>
      <c r="F42" s="6" t="s">
        <v>6</v>
      </c>
      <c r="G42" s="7"/>
    </row>
    <row r="43" ht="21.4" customHeight="1" spans="1:7">
      <c r="A43" s="4" t="s">
        <v>7</v>
      </c>
      <c r="B43" s="6" t="s">
        <v>8</v>
      </c>
      <c r="C43" s="7"/>
      <c r="D43" s="5"/>
      <c r="E43" s="4" t="s">
        <v>7</v>
      </c>
      <c r="F43" s="6" t="s">
        <v>8</v>
      </c>
      <c r="G43" s="7"/>
    </row>
    <row r="44" ht="21.4" customHeight="1" spans="1:7">
      <c r="A44" s="4" t="s">
        <v>9</v>
      </c>
      <c r="B44" s="4" t="s">
        <v>10</v>
      </c>
      <c r="C44" s="8" t="str">
        <f>_xlfn.DISPIMG("ID_39541403913240B3AF1DFF776B1A4100",1)</f>
        <v>=DISPIMG("ID_39541403913240B3AF1DFF776B1A4100",1)</v>
      </c>
      <c r="D44" s="5"/>
      <c r="E44" s="4" t="s">
        <v>9</v>
      </c>
      <c r="F44" s="4" t="s">
        <v>10</v>
      </c>
      <c r="G44" s="8" t="str">
        <f>_xlfn.DISPIMG("ID_D7F7A8D612404437BF71BF1E2E091153",1)</f>
        <v>=DISPIMG("ID_D7F7A8D612404437BF71BF1E2E091153",1)</v>
      </c>
    </row>
    <row r="45" ht="21.4" customHeight="1" spans="1:7">
      <c r="A45" s="4" t="s">
        <v>11</v>
      </c>
      <c r="B45" s="9" t="s">
        <v>12</v>
      </c>
      <c r="C45" s="10"/>
      <c r="D45" s="5"/>
      <c r="E45" s="4" t="s">
        <v>11</v>
      </c>
      <c r="F45" s="9" t="s">
        <v>12</v>
      </c>
      <c r="G45" s="10"/>
    </row>
    <row r="46" ht="21.4" customHeight="1" spans="1:7">
      <c r="A46" s="4" t="s">
        <v>13</v>
      </c>
      <c r="B46" s="4" t="s">
        <v>14</v>
      </c>
      <c r="C46" s="10"/>
      <c r="D46" s="5"/>
      <c r="E46" s="4" t="s">
        <v>13</v>
      </c>
      <c r="F46" s="4" t="s">
        <v>14</v>
      </c>
      <c r="G46" s="10"/>
    </row>
    <row r="47" ht="21.4" customHeight="1" spans="1:7">
      <c r="A47" s="4" t="s">
        <v>15</v>
      </c>
      <c r="B47" s="4" t="s">
        <v>16</v>
      </c>
      <c r="C47" s="10"/>
      <c r="D47" s="5"/>
      <c r="E47" s="4" t="s">
        <v>15</v>
      </c>
      <c r="F47" s="4" t="s">
        <v>16</v>
      </c>
      <c r="G47" s="10"/>
    </row>
    <row r="48" ht="21.4" customHeight="1" spans="1:7">
      <c r="A48" s="4" t="s">
        <v>17</v>
      </c>
      <c r="B48" s="4" t="s">
        <v>16</v>
      </c>
      <c r="C48" s="10"/>
      <c r="D48" s="5"/>
      <c r="E48" s="4" t="s">
        <v>17</v>
      </c>
      <c r="F48" s="4" t="s">
        <v>16</v>
      </c>
      <c r="G48" s="10"/>
    </row>
    <row r="49" ht="21.4" customHeight="1" spans="1:7">
      <c r="A49" s="4" t="s">
        <v>18</v>
      </c>
      <c r="B49" s="4" t="s">
        <v>51</v>
      </c>
      <c r="C49" s="10"/>
      <c r="D49" s="5"/>
      <c r="E49" s="4" t="s">
        <v>18</v>
      </c>
      <c r="F49" s="4" t="s">
        <v>52</v>
      </c>
      <c r="G49" s="10"/>
    </row>
    <row r="50" ht="21.4" customHeight="1" spans="1:7">
      <c r="A50" s="4" t="s">
        <v>21</v>
      </c>
      <c r="B50" s="4" t="s">
        <v>22</v>
      </c>
      <c r="C50" s="12"/>
      <c r="D50" s="5"/>
      <c r="E50" s="4" t="s">
        <v>21</v>
      </c>
      <c r="F50" s="4" t="s">
        <v>22</v>
      </c>
      <c r="G50" s="12"/>
    </row>
    <row r="51" ht="61.2" spans="1:7">
      <c r="A51" s="1" t="s">
        <v>0</v>
      </c>
      <c r="B51" s="1"/>
      <c r="C51" s="2"/>
      <c r="D51" s="3"/>
      <c r="E51" s="1" t="s">
        <v>0</v>
      </c>
      <c r="F51" s="1"/>
      <c r="G51" s="2"/>
    </row>
    <row r="52" ht="21.3" customHeight="1" spans="1:7">
      <c r="A52" s="4" t="s">
        <v>1</v>
      </c>
      <c r="B52" s="4" t="s">
        <v>2</v>
      </c>
      <c r="C52" s="4"/>
      <c r="D52" s="5"/>
      <c r="E52" s="4" t="s">
        <v>1</v>
      </c>
      <c r="F52" s="4" t="s">
        <v>2</v>
      </c>
      <c r="G52" s="4"/>
    </row>
    <row r="53" ht="21.3" customHeight="1" spans="1:7">
      <c r="A53" s="4" t="s">
        <v>3</v>
      </c>
      <c r="B53" s="6" t="s">
        <v>4</v>
      </c>
      <c r="C53" s="7"/>
      <c r="D53" s="5"/>
      <c r="E53" s="4" t="s">
        <v>3</v>
      </c>
      <c r="F53" s="6" t="s">
        <v>4</v>
      </c>
      <c r="G53" s="7"/>
    </row>
    <row r="54" ht="21.3" customHeight="1" spans="1:7">
      <c r="A54" s="4" t="s">
        <v>5</v>
      </c>
      <c r="B54" s="6" t="s">
        <v>6</v>
      </c>
      <c r="C54" s="7"/>
      <c r="D54" s="5"/>
      <c r="E54" s="4" t="s">
        <v>5</v>
      </c>
      <c r="F54" s="6" t="s">
        <v>6</v>
      </c>
      <c r="G54" s="7"/>
    </row>
    <row r="55" ht="21.3" customHeight="1" spans="1:7">
      <c r="A55" s="4" t="s">
        <v>7</v>
      </c>
      <c r="B55" s="6" t="s">
        <v>8</v>
      </c>
      <c r="C55" s="7"/>
      <c r="D55" s="5"/>
      <c r="E55" s="4" t="s">
        <v>7</v>
      </c>
      <c r="F55" s="6" t="s">
        <v>8</v>
      </c>
      <c r="G55" s="7"/>
    </row>
    <row r="56" ht="21.3" customHeight="1" spans="1:7">
      <c r="A56" s="4" t="s">
        <v>9</v>
      </c>
      <c r="B56" s="4" t="s">
        <v>10</v>
      </c>
      <c r="C56" s="8" t="str">
        <f>_xlfn.DISPIMG("ID_0731DB9A686A40899B997B47F5A310FD",1)</f>
        <v>=DISPIMG("ID_0731DB9A686A40899B997B47F5A310FD",1)</v>
      </c>
      <c r="D56" s="5"/>
      <c r="E56" s="4" t="s">
        <v>9</v>
      </c>
      <c r="F56" s="4" t="s">
        <v>10</v>
      </c>
      <c r="G56" s="8" t="str">
        <f>_xlfn.DISPIMG("ID_6743D7ED2EA84BC18767908B896F50D8",1)</f>
        <v>=DISPIMG("ID_6743D7ED2EA84BC18767908B896F50D8",1)</v>
      </c>
    </row>
    <row r="57" ht="21.3" customHeight="1" spans="1:7">
      <c r="A57" s="4" t="s">
        <v>11</v>
      </c>
      <c r="B57" s="9" t="s">
        <v>12</v>
      </c>
      <c r="C57" s="10"/>
      <c r="D57" s="5"/>
      <c r="E57" s="4" t="s">
        <v>11</v>
      </c>
      <c r="F57" s="9" t="s">
        <v>12</v>
      </c>
      <c r="G57" s="10"/>
    </row>
    <row r="58" ht="21.3" customHeight="1" spans="1:7">
      <c r="A58" s="4" t="s">
        <v>13</v>
      </c>
      <c r="B58" s="4" t="s">
        <v>14</v>
      </c>
      <c r="C58" s="10"/>
      <c r="D58" s="5"/>
      <c r="E58" s="4" t="s">
        <v>13</v>
      </c>
      <c r="F58" s="4" t="s">
        <v>14</v>
      </c>
      <c r="G58" s="10"/>
    </row>
    <row r="59" ht="21.3" customHeight="1" spans="1:7">
      <c r="A59" s="4" t="s">
        <v>15</v>
      </c>
      <c r="B59" s="4" t="s">
        <v>16</v>
      </c>
      <c r="C59" s="10"/>
      <c r="D59" s="5"/>
      <c r="E59" s="4" t="s">
        <v>15</v>
      </c>
      <c r="F59" s="4" t="s">
        <v>16</v>
      </c>
      <c r="G59" s="10"/>
    </row>
    <row r="60" ht="21.3" customHeight="1" spans="1:7">
      <c r="A60" s="4" t="s">
        <v>17</v>
      </c>
      <c r="B60" s="4" t="s">
        <v>16</v>
      </c>
      <c r="C60" s="10"/>
      <c r="D60" s="5"/>
      <c r="E60" s="4" t="s">
        <v>17</v>
      </c>
      <c r="F60" s="4" t="s">
        <v>16</v>
      </c>
      <c r="G60" s="10"/>
    </row>
    <row r="61" ht="21.3" customHeight="1" spans="1:7">
      <c r="A61" s="4" t="s">
        <v>18</v>
      </c>
      <c r="B61" s="4" t="s">
        <v>53</v>
      </c>
      <c r="C61" s="10"/>
      <c r="D61" s="5"/>
      <c r="E61" s="4" t="s">
        <v>18</v>
      </c>
      <c r="F61" s="4" t="s">
        <v>54</v>
      </c>
      <c r="G61" s="10"/>
    </row>
    <row r="62" ht="21.3" customHeight="1" spans="1:7">
      <c r="A62" s="4" t="s">
        <v>21</v>
      </c>
      <c r="B62" s="4" t="s">
        <v>22</v>
      </c>
      <c r="C62" s="12"/>
      <c r="D62" s="5"/>
      <c r="E62" s="4" t="s">
        <v>21</v>
      </c>
      <c r="F62" s="4" t="s">
        <v>22</v>
      </c>
      <c r="G62" s="12"/>
    </row>
    <row r="63" ht="29" customHeight="1" spans="1:7">
      <c r="A63" s="13"/>
      <c r="B63" s="13"/>
      <c r="C63" s="13"/>
      <c r="D63" s="13"/>
      <c r="E63" s="13"/>
      <c r="F63" s="13"/>
      <c r="G63" s="13"/>
    </row>
    <row r="64" ht="61.2" spans="1:7">
      <c r="A64" s="1" t="s">
        <v>0</v>
      </c>
      <c r="B64" s="1"/>
      <c r="C64" s="2"/>
      <c r="D64" s="3"/>
      <c r="E64" s="1" t="s">
        <v>0</v>
      </c>
      <c r="F64" s="1"/>
      <c r="G64" s="2"/>
    </row>
    <row r="65" ht="21.4" customHeight="1" spans="1:7">
      <c r="A65" s="4" t="s">
        <v>1</v>
      </c>
      <c r="B65" s="4" t="s">
        <v>2</v>
      </c>
      <c r="C65" s="4"/>
      <c r="D65" s="5"/>
      <c r="E65" s="4" t="s">
        <v>1</v>
      </c>
      <c r="F65" s="4" t="s">
        <v>2</v>
      </c>
      <c r="G65" s="4"/>
    </row>
    <row r="66" ht="21.4" customHeight="1" spans="1:7">
      <c r="A66" s="4" t="s">
        <v>3</v>
      </c>
      <c r="B66" s="6" t="s">
        <v>4</v>
      </c>
      <c r="C66" s="7"/>
      <c r="D66" s="5"/>
      <c r="E66" s="4" t="s">
        <v>3</v>
      </c>
      <c r="F66" s="6" t="s">
        <v>4</v>
      </c>
      <c r="G66" s="7"/>
    </row>
    <row r="67" ht="21.4" customHeight="1" spans="1:7">
      <c r="A67" s="4" t="s">
        <v>5</v>
      </c>
      <c r="B67" s="6" t="s">
        <v>6</v>
      </c>
      <c r="C67" s="7"/>
      <c r="D67" s="5"/>
      <c r="E67" s="4" t="s">
        <v>5</v>
      </c>
      <c r="F67" s="6" t="s">
        <v>6</v>
      </c>
      <c r="G67" s="7"/>
    </row>
    <row r="68" ht="21.4" customHeight="1" spans="1:7">
      <c r="A68" s="4" t="s">
        <v>7</v>
      </c>
      <c r="B68" s="6" t="s">
        <v>8</v>
      </c>
      <c r="C68" s="7"/>
      <c r="D68" s="5"/>
      <c r="E68" s="4" t="s">
        <v>7</v>
      </c>
      <c r="F68" s="6" t="s">
        <v>8</v>
      </c>
      <c r="G68" s="7"/>
    </row>
    <row r="69" ht="21.4" customHeight="1" spans="1:7">
      <c r="A69" s="4" t="s">
        <v>9</v>
      </c>
      <c r="B69" s="4" t="s">
        <v>10</v>
      </c>
      <c r="C69" s="8" t="str">
        <f>_xlfn.DISPIMG("ID_D410F11F03D84F8589FF0E87A6BF55DA",1)</f>
        <v>=DISPIMG("ID_D410F11F03D84F8589FF0E87A6BF55DA",1)</v>
      </c>
      <c r="D69" s="5"/>
      <c r="E69" s="4" t="s">
        <v>9</v>
      </c>
      <c r="F69" s="4" t="s">
        <v>10</v>
      </c>
      <c r="G69" s="8" t="str">
        <f>_xlfn.DISPIMG("ID_7F2D954461BB44DF8FAC9E846E70B563",1)</f>
        <v>=DISPIMG("ID_7F2D954461BB44DF8FAC9E846E70B563",1)</v>
      </c>
    </row>
    <row r="70" ht="21.4" customHeight="1" spans="1:7">
      <c r="A70" s="4" t="s">
        <v>11</v>
      </c>
      <c r="B70" s="9" t="s">
        <v>12</v>
      </c>
      <c r="C70" s="10"/>
      <c r="D70" s="5"/>
      <c r="E70" s="4" t="s">
        <v>11</v>
      </c>
      <c r="F70" s="9" t="s">
        <v>12</v>
      </c>
      <c r="G70" s="10"/>
    </row>
    <row r="71" ht="21.4" customHeight="1" spans="1:7">
      <c r="A71" s="4" t="s">
        <v>13</v>
      </c>
      <c r="B71" s="4" t="s">
        <v>14</v>
      </c>
      <c r="C71" s="10"/>
      <c r="D71" s="5"/>
      <c r="E71" s="4" t="s">
        <v>13</v>
      </c>
      <c r="F71" s="4" t="s">
        <v>14</v>
      </c>
      <c r="G71" s="10"/>
    </row>
    <row r="72" ht="21.4" customHeight="1" spans="1:7">
      <c r="A72" s="4" t="s">
        <v>15</v>
      </c>
      <c r="B72" s="4" t="s">
        <v>16</v>
      </c>
      <c r="C72" s="10"/>
      <c r="D72" s="5"/>
      <c r="E72" s="4" t="s">
        <v>15</v>
      </c>
      <c r="F72" s="4" t="s">
        <v>16</v>
      </c>
      <c r="G72" s="10"/>
    </row>
    <row r="73" ht="21.4" customHeight="1" spans="1:7">
      <c r="A73" s="4" t="s">
        <v>17</v>
      </c>
      <c r="B73" s="4" t="s">
        <v>16</v>
      </c>
      <c r="C73" s="10"/>
      <c r="D73" s="5"/>
      <c r="E73" s="4" t="s">
        <v>17</v>
      </c>
      <c r="F73" s="4" t="s">
        <v>16</v>
      </c>
      <c r="G73" s="10"/>
    </row>
    <row r="74" ht="21.4" customHeight="1" spans="1:7">
      <c r="A74" s="4" t="s">
        <v>18</v>
      </c>
      <c r="B74" s="4" t="s">
        <v>55</v>
      </c>
      <c r="C74" s="10"/>
      <c r="D74" s="5"/>
      <c r="E74" s="4" t="s">
        <v>18</v>
      </c>
      <c r="F74" s="4" t="s">
        <v>56</v>
      </c>
      <c r="G74" s="10"/>
    </row>
    <row r="75" ht="21.4" customHeight="1" spans="1:7">
      <c r="A75" s="4" t="s">
        <v>21</v>
      </c>
      <c r="B75" s="4" t="s">
        <v>22</v>
      </c>
      <c r="C75" s="12"/>
      <c r="D75" s="5"/>
      <c r="E75" s="4" t="s">
        <v>21</v>
      </c>
      <c r="F75" s="4" t="s">
        <v>22</v>
      </c>
      <c r="G75" s="12"/>
    </row>
    <row r="76" ht="61.2" spans="1:7">
      <c r="A76" s="1" t="s">
        <v>0</v>
      </c>
      <c r="B76" s="1"/>
      <c r="C76" s="2"/>
      <c r="D76" s="3"/>
      <c r="E76" s="1" t="s">
        <v>0</v>
      </c>
      <c r="F76" s="1"/>
      <c r="G76" s="2"/>
    </row>
    <row r="77" ht="21.3" customHeight="1" spans="1:7">
      <c r="A77" s="4" t="s">
        <v>1</v>
      </c>
      <c r="B77" s="4" t="s">
        <v>2</v>
      </c>
      <c r="C77" s="4"/>
      <c r="D77" s="5"/>
      <c r="E77" s="4" t="s">
        <v>1</v>
      </c>
      <c r="F77" s="4" t="s">
        <v>2</v>
      </c>
      <c r="G77" s="4"/>
    </row>
    <row r="78" ht="21.3" customHeight="1" spans="1:7">
      <c r="A78" s="4" t="s">
        <v>3</v>
      </c>
      <c r="B78" s="6" t="s">
        <v>4</v>
      </c>
      <c r="C78" s="7"/>
      <c r="D78" s="5"/>
      <c r="E78" s="4" t="s">
        <v>3</v>
      </c>
      <c r="F78" s="6" t="s">
        <v>4</v>
      </c>
      <c r="G78" s="7"/>
    </row>
    <row r="79" ht="21.3" customHeight="1" spans="1:7">
      <c r="A79" s="4" t="s">
        <v>5</v>
      </c>
      <c r="B79" s="6" t="s">
        <v>6</v>
      </c>
      <c r="C79" s="7"/>
      <c r="D79" s="5"/>
      <c r="E79" s="4" t="s">
        <v>5</v>
      </c>
      <c r="F79" s="6" t="s">
        <v>6</v>
      </c>
      <c r="G79" s="7"/>
    </row>
    <row r="80" ht="21.3" customHeight="1" spans="1:7">
      <c r="A80" s="4" t="s">
        <v>7</v>
      </c>
      <c r="B80" s="6" t="s">
        <v>8</v>
      </c>
      <c r="C80" s="7"/>
      <c r="D80" s="5"/>
      <c r="E80" s="4" t="s">
        <v>7</v>
      </c>
      <c r="F80" s="6" t="s">
        <v>8</v>
      </c>
      <c r="G80" s="7"/>
    </row>
    <row r="81" ht="21.3" customHeight="1" spans="1:7">
      <c r="A81" s="4" t="s">
        <v>9</v>
      </c>
      <c r="B81" s="4" t="s">
        <v>10</v>
      </c>
      <c r="C81" s="8" t="str">
        <f>_xlfn.DISPIMG("ID_C0609A0FE2394460A5E42598E49ABA92",1)</f>
        <v>=DISPIMG("ID_C0609A0FE2394460A5E42598E49ABA92",1)</v>
      </c>
      <c r="D81" s="5"/>
      <c r="E81" s="4" t="s">
        <v>9</v>
      </c>
      <c r="F81" s="4" t="s">
        <v>10</v>
      </c>
      <c r="G81" s="8" t="str">
        <f>_xlfn.DISPIMG("ID_F8510710E0A040478BDA69930BEA56D9",1)</f>
        <v>=DISPIMG("ID_F8510710E0A040478BDA69930BEA56D9",1)</v>
      </c>
    </row>
    <row r="82" ht="21.3" customHeight="1" spans="1:7">
      <c r="A82" s="4" t="s">
        <v>11</v>
      </c>
      <c r="B82" s="9" t="s">
        <v>12</v>
      </c>
      <c r="C82" s="10"/>
      <c r="D82" s="5"/>
      <c r="E82" s="4" t="s">
        <v>11</v>
      </c>
      <c r="F82" s="9" t="s">
        <v>12</v>
      </c>
      <c r="G82" s="10"/>
    </row>
    <row r="83" ht="21.3" customHeight="1" spans="1:7">
      <c r="A83" s="4" t="s">
        <v>13</v>
      </c>
      <c r="B83" s="4" t="s">
        <v>14</v>
      </c>
      <c r="C83" s="10"/>
      <c r="D83" s="5"/>
      <c r="E83" s="4" t="s">
        <v>13</v>
      </c>
      <c r="F83" s="4" t="s">
        <v>14</v>
      </c>
      <c r="G83" s="10"/>
    </row>
    <row r="84" ht="21.3" customHeight="1" spans="1:7">
      <c r="A84" s="4" t="s">
        <v>15</v>
      </c>
      <c r="B84" s="4" t="s">
        <v>16</v>
      </c>
      <c r="C84" s="10"/>
      <c r="D84" s="5"/>
      <c r="E84" s="4" t="s">
        <v>15</v>
      </c>
      <c r="F84" s="4" t="s">
        <v>16</v>
      </c>
      <c r="G84" s="10"/>
    </row>
    <row r="85" ht="21.3" customHeight="1" spans="1:7">
      <c r="A85" s="4" t="s">
        <v>17</v>
      </c>
      <c r="B85" s="4" t="s">
        <v>16</v>
      </c>
      <c r="C85" s="10"/>
      <c r="D85" s="5"/>
      <c r="E85" s="4" t="s">
        <v>17</v>
      </c>
      <c r="F85" s="4" t="s">
        <v>16</v>
      </c>
      <c r="G85" s="10"/>
    </row>
    <row r="86" ht="21.3" customHeight="1" spans="1:7">
      <c r="A86" s="4" t="s">
        <v>18</v>
      </c>
      <c r="B86" s="4" t="s">
        <v>57</v>
      </c>
      <c r="C86" s="10"/>
      <c r="D86" s="5"/>
      <c r="E86" s="4" t="s">
        <v>18</v>
      </c>
      <c r="F86" s="4" t="s">
        <v>58</v>
      </c>
      <c r="G86" s="10"/>
    </row>
    <row r="87" ht="21.3" customHeight="1" spans="1:7">
      <c r="A87" s="4" t="s">
        <v>21</v>
      </c>
      <c r="B87" s="4" t="s">
        <v>22</v>
      </c>
      <c r="C87" s="12"/>
      <c r="D87" s="5"/>
      <c r="E87" s="4" t="s">
        <v>21</v>
      </c>
      <c r="F87" s="4" t="s">
        <v>22</v>
      </c>
      <c r="G87" s="12"/>
    </row>
    <row r="88" ht="29" customHeight="1" spans="1:7">
      <c r="A88" s="13"/>
      <c r="B88" s="13"/>
      <c r="C88" s="13"/>
      <c r="D88" s="13"/>
      <c r="E88" s="13"/>
      <c r="F88" s="13"/>
      <c r="G88" s="13"/>
    </row>
    <row r="89" ht="61.2" spans="1:7">
      <c r="A89" s="1" t="s">
        <v>0</v>
      </c>
      <c r="B89" s="1"/>
      <c r="C89" s="2"/>
      <c r="D89" s="3"/>
      <c r="E89" s="1" t="s">
        <v>0</v>
      </c>
      <c r="F89" s="1"/>
      <c r="G89" s="2"/>
    </row>
    <row r="90" ht="21.4" customHeight="1" spans="1:7">
      <c r="A90" s="4" t="s">
        <v>1</v>
      </c>
      <c r="B90" s="4" t="s">
        <v>2</v>
      </c>
      <c r="C90" s="4"/>
      <c r="D90" s="5"/>
      <c r="E90" s="4" t="s">
        <v>1</v>
      </c>
      <c r="F90" s="4" t="s">
        <v>2</v>
      </c>
      <c r="G90" s="4"/>
    </row>
    <row r="91" ht="21.4" customHeight="1" spans="1:7">
      <c r="A91" s="4" t="s">
        <v>3</v>
      </c>
      <c r="B91" s="6" t="s">
        <v>4</v>
      </c>
      <c r="C91" s="7"/>
      <c r="D91" s="5"/>
      <c r="E91" s="4" t="s">
        <v>3</v>
      </c>
      <c r="F91" s="6" t="s">
        <v>4</v>
      </c>
      <c r="G91" s="7"/>
    </row>
    <row r="92" ht="21.4" customHeight="1" spans="1:7">
      <c r="A92" s="4" t="s">
        <v>5</v>
      </c>
      <c r="B92" s="6" t="s">
        <v>6</v>
      </c>
      <c r="C92" s="7"/>
      <c r="D92" s="5"/>
      <c r="E92" s="4" t="s">
        <v>5</v>
      </c>
      <c r="F92" s="6" t="s">
        <v>6</v>
      </c>
      <c r="G92" s="7"/>
    </row>
    <row r="93" ht="21.4" customHeight="1" spans="1:7">
      <c r="A93" s="4" t="s">
        <v>7</v>
      </c>
      <c r="B93" s="6" t="s">
        <v>8</v>
      </c>
      <c r="C93" s="7"/>
      <c r="D93" s="5"/>
      <c r="E93" s="4" t="s">
        <v>7</v>
      </c>
      <c r="F93" s="6" t="s">
        <v>8</v>
      </c>
      <c r="G93" s="7"/>
    </row>
    <row r="94" ht="21.4" customHeight="1" spans="1:7">
      <c r="A94" s="4" t="s">
        <v>9</v>
      </c>
      <c r="B94" s="4" t="s">
        <v>10</v>
      </c>
      <c r="C94" s="8" t="str">
        <f>_xlfn.DISPIMG("ID_6B39CFECC7D7400BBD9340BCFC44D6AA",1)</f>
        <v>=DISPIMG("ID_6B39CFECC7D7400BBD9340BCFC44D6AA",1)</v>
      </c>
      <c r="D94" s="5"/>
      <c r="E94" s="4" t="s">
        <v>9</v>
      </c>
      <c r="F94" s="4" t="s">
        <v>10</v>
      </c>
      <c r="G94" s="8" t="str">
        <f>_xlfn.DISPIMG("ID_C36F98D59C2D44D599F2E2B7E831C773",1)</f>
        <v>=DISPIMG("ID_C36F98D59C2D44D599F2E2B7E831C773",1)</v>
      </c>
    </row>
    <row r="95" ht="21.4" customHeight="1" spans="1:7">
      <c r="A95" s="4" t="s">
        <v>11</v>
      </c>
      <c r="B95" s="9" t="s">
        <v>12</v>
      </c>
      <c r="C95" s="10"/>
      <c r="D95" s="5"/>
      <c r="E95" s="4" t="s">
        <v>11</v>
      </c>
      <c r="F95" s="9" t="s">
        <v>12</v>
      </c>
      <c r="G95" s="10"/>
    </row>
    <row r="96" ht="21.4" customHeight="1" spans="1:7">
      <c r="A96" s="4" t="s">
        <v>13</v>
      </c>
      <c r="B96" s="4" t="s">
        <v>14</v>
      </c>
      <c r="C96" s="10"/>
      <c r="D96" s="5"/>
      <c r="E96" s="4" t="s">
        <v>13</v>
      </c>
      <c r="F96" s="4" t="s">
        <v>14</v>
      </c>
      <c r="G96" s="10"/>
    </row>
    <row r="97" ht="21.4" customHeight="1" spans="1:7">
      <c r="A97" s="4" t="s">
        <v>15</v>
      </c>
      <c r="B97" s="4" t="s">
        <v>16</v>
      </c>
      <c r="C97" s="10"/>
      <c r="D97" s="5"/>
      <c r="E97" s="4" t="s">
        <v>15</v>
      </c>
      <c r="F97" s="4" t="s">
        <v>16</v>
      </c>
      <c r="G97" s="10"/>
    </row>
    <row r="98" ht="21.4" customHeight="1" spans="1:7">
      <c r="A98" s="4" t="s">
        <v>17</v>
      </c>
      <c r="B98" s="4" t="s">
        <v>16</v>
      </c>
      <c r="C98" s="10"/>
      <c r="D98" s="5"/>
      <c r="E98" s="4" t="s">
        <v>17</v>
      </c>
      <c r="F98" s="4" t="s">
        <v>16</v>
      </c>
      <c r="G98" s="10"/>
    </row>
    <row r="99" ht="21.4" customHeight="1" spans="1:7">
      <c r="A99" s="4" t="s">
        <v>18</v>
      </c>
      <c r="B99" s="4" t="s">
        <v>59</v>
      </c>
      <c r="C99" s="10"/>
      <c r="D99" s="5"/>
      <c r="E99" s="4" t="s">
        <v>18</v>
      </c>
      <c r="F99" s="4" t="s">
        <v>60</v>
      </c>
      <c r="G99" s="10"/>
    </row>
    <row r="100" ht="21.4" customHeight="1" spans="1:7">
      <c r="A100" s="4" t="s">
        <v>21</v>
      </c>
      <c r="B100" s="4" t="s">
        <v>22</v>
      </c>
      <c r="C100" s="12"/>
      <c r="D100" s="5"/>
      <c r="E100" s="4" t="s">
        <v>21</v>
      </c>
      <c r="F100" s="4" t="s">
        <v>22</v>
      </c>
      <c r="G100" s="12"/>
    </row>
    <row r="101" ht="61.2" spans="1:7">
      <c r="A101" s="1" t="s">
        <v>0</v>
      </c>
      <c r="B101" s="1"/>
      <c r="C101" s="2"/>
      <c r="D101" s="3"/>
      <c r="E101" s="1" t="s">
        <v>0</v>
      </c>
      <c r="F101" s="1"/>
      <c r="G101" s="2"/>
    </row>
    <row r="102" ht="21.3" customHeight="1" spans="1:7">
      <c r="A102" s="4" t="s">
        <v>1</v>
      </c>
      <c r="B102" s="4" t="s">
        <v>2</v>
      </c>
      <c r="C102" s="4"/>
      <c r="D102" s="5"/>
      <c r="E102" s="4" t="s">
        <v>1</v>
      </c>
      <c r="F102" s="4" t="s">
        <v>2</v>
      </c>
      <c r="G102" s="4"/>
    </row>
    <row r="103" ht="21.3" customHeight="1" spans="1:7">
      <c r="A103" s="4" t="s">
        <v>3</v>
      </c>
      <c r="B103" s="6" t="s">
        <v>4</v>
      </c>
      <c r="C103" s="7"/>
      <c r="D103" s="5"/>
      <c r="E103" s="4" t="s">
        <v>3</v>
      </c>
      <c r="F103" s="6" t="s">
        <v>4</v>
      </c>
      <c r="G103" s="7"/>
    </row>
    <row r="104" ht="21.3" customHeight="1" spans="1:7">
      <c r="A104" s="4" t="s">
        <v>5</v>
      </c>
      <c r="B104" s="6" t="s">
        <v>6</v>
      </c>
      <c r="C104" s="7"/>
      <c r="D104" s="5"/>
      <c r="E104" s="4" t="s">
        <v>5</v>
      </c>
      <c r="F104" s="6" t="s">
        <v>6</v>
      </c>
      <c r="G104" s="7"/>
    </row>
    <row r="105" ht="21.3" customHeight="1" spans="1:7">
      <c r="A105" s="4" t="s">
        <v>7</v>
      </c>
      <c r="B105" s="6" t="s">
        <v>8</v>
      </c>
      <c r="C105" s="7"/>
      <c r="D105" s="5"/>
      <c r="E105" s="4" t="s">
        <v>7</v>
      </c>
      <c r="F105" s="6" t="s">
        <v>8</v>
      </c>
      <c r="G105" s="7"/>
    </row>
    <row r="106" ht="21.3" customHeight="1" spans="1:7">
      <c r="A106" s="4" t="s">
        <v>9</v>
      </c>
      <c r="B106" s="4" t="s">
        <v>10</v>
      </c>
      <c r="C106" s="8" t="str">
        <f>_xlfn.DISPIMG("ID_EE82A7447BA5495FA0E948DC93DD7324",1)</f>
        <v>=DISPIMG("ID_EE82A7447BA5495FA0E948DC93DD7324",1)</v>
      </c>
      <c r="D106" s="5"/>
      <c r="E106" s="4" t="s">
        <v>9</v>
      </c>
      <c r="F106" s="4" t="s">
        <v>10</v>
      </c>
      <c r="G106" s="8" t="str">
        <f>_xlfn.DISPIMG("ID_BF690C044AE44A6099FA231AF1B92E5E",1)</f>
        <v>=DISPIMG("ID_BF690C044AE44A6099FA231AF1B92E5E",1)</v>
      </c>
    </row>
    <row r="107" ht="21.3" customHeight="1" spans="1:7">
      <c r="A107" s="4" t="s">
        <v>11</v>
      </c>
      <c r="B107" s="9" t="s">
        <v>12</v>
      </c>
      <c r="C107" s="10"/>
      <c r="D107" s="5"/>
      <c r="E107" s="4" t="s">
        <v>11</v>
      </c>
      <c r="F107" s="9" t="s">
        <v>12</v>
      </c>
      <c r="G107" s="10"/>
    </row>
    <row r="108" ht="21.3" customHeight="1" spans="1:7">
      <c r="A108" s="4" t="s">
        <v>13</v>
      </c>
      <c r="B108" s="4" t="s">
        <v>14</v>
      </c>
      <c r="C108" s="10"/>
      <c r="D108" s="5"/>
      <c r="E108" s="4" t="s">
        <v>13</v>
      </c>
      <c r="F108" s="4" t="s">
        <v>14</v>
      </c>
      <c r="G108" s="10"/>
    </row>
    <row r="109" ht="21.3" customHeight="1" spans="1:7">
      <c r="A109" s="4" t="s">
        <v>15</v>
      </c>
      <c r="B109" s="4" t="s">
        <v>16</v>
      </c>
      <c r="C109" s="10"/>
      <c r="D109" s="5"/>
      <c r="E109" s="4" t="s">
        <v>15</v>
      </c>
      <c r="F109" s="4" t="s">
        <v>16</v>
      </c>
      <c r="G109" s="10"/>
    </row>
    <row r="110" ht="21.3" customHeight="1" spans="1:7">
      <c r="A110" s="4" t="s">
        <v>17</v>
      </c>
      <c r="B110" s="4" t="s">
        <v>16</v>
      </c>
      <c r="C110" s="10"/>
      <c r="D110" s="5"/>
      <c r="E110" s="4" t="s">
        <v>17</v>
      </c>
      <c r="F110" s="4" t="s">
        <v>16</v>
      </c>
      <c r="G110" s="10"/>
    </row>
    <row r="111" ht="21.3" customHeight="1" spans="1:7">
      <c r="A111" s="4" t="s">
        <v>18</v>
      </c>
      <c r="B111" s="4" t="s">
        <v>61</v>
      </c>
      <c r="C111" s="10"/>
      <c r="D111" s="5"/>
      <c r="E111" s="4" t="s">
        <v>18</v>
      </c>
      <c r="F111" s="4" t="s">
        <v>62</v>
      </c>
      <c r="G111" s="10"/>
    </row>
    <row r="112" ht="21.3" customHeight="1" spans="1:7">
      <c r="A112" s="4" t="s">
        <v>21</v>
      </c>
      <c r="B112" s="4" t="s">
        <v>22</v>
      </c>
      <c r="C112" s="12"/>
      <c r="D112" s="5"/>
      <c r="E112" s="4" t="s">
        <v>21</v>
      </c>
      <c r="F112" s="4" t="s">
        <v>22</v>
      </c>
      <c r="G112" s="12"/>
    </row>
    <row r="113" ht="29" customHeight="1" spans="1:7">
      <c r="A113" s="13"/>
      <c r="B113" s="13"/>
      <c r="C113" s="13"/>
      <c r="D113" s="13"/>
      <c r="E113" s="13"/>
      <c r="F113" s="13"/>
      <c r="G113" s="13"/>
    </row>
    <row r="114" ht="61.2" spans="1:7">
      <c r="A114" s="1" t="s">
        <v>0</v>
      </c>
      <c r="B114" s="1"/>
      <c r="C114" s="2"/>
      <c r="D114" s="3"/>
      <c r="E114" s="1" t="s">
        <v>0</v>
      </c>
      <c r="F114" s="1"/>
      <c r="G114" s="2"/>
    </row>
    <row r="115" ht="21.4" customHeight="1" spans="1:7">
      <c r="A115" s="4" t="s">
        <v>1</v>
      </c>
      <c r="B115" s="4" t="s">
        <v>2</v>
      </c>
      <c r="C115" s="4"/>
      <c r="D115" s="5"/>
      <c r="E115" s="4" t="s">
        <v>1</v>
      </c>
      <c r="F115" s="4" t="s">
        <v>2</v>
      </c>
      <c r="G115" s="4"/>
    </row>
    <row r="116" ht="21.4" customHeight="1" spans="1:7">
      <c r="A116" s="4" t="s">
        <v>3</v>
      </c>
      <c r="B116" s="6" t="s">
        <v>4</v>
      </c>
      <c r="C116" s="7"/>
      <c r="D116" s="5"/>
      <c r="E116" s="4" t="s">
        <v>3</v>
      </c>
      <c r="F116" s="6" t="s">
        <v>4</v>
      </c>
      <c r="G116" s="7"/>
    </row>
    <row r="117" ht="21.4" customHeight="1" spans="1:7">
      <c r="A117" s="4" t="s">
        <v>5</v>
      </c>
      <c r="B117" s="6" t="s">
        <v>6</v>
      </c>
      <c r="C117" s="7"/>
      <c r="D117" s="5"/>
      <c r="E117" s="4" t="s">
        <v>5</v>
      </c>
      <c r="F117" s="6" t="s">
        <v>6</v>
      </c>
      <c r="G117" s="7"/>
    </row>
    <row r="118" ht="21.4" customHeight="1" spans="1:7">
      <c r="A118" s="4" t="s">
        <v>7</v>
      </c>
      <c r="B118" s="6" t="s">
        <v>8</v>
      </c>
      <c r="C118" s="7"/>
      <c r="D118" s="5"/>
      <c r="E118" s="4" t="s">
        <v>7</v>
      </c>
      <c r="F118" s="6" t="s">
        <v>8</v>
      </c>
      <c r="G118" s="7"/>
    </row>
    <row r="119" ht="21.4" customHeight="1" spans="1:7">
      <c r="A119" s="4" t="s">
        <v>9</v>
      </c>
      <c r="B119" s="4" t="s">
        <v>10</v>
      </c>
      <c r="C119" s="8" t="str">
        <f>_xlfn.DISPIMG("ID_2A8D26CD418941DB80D90637250110BC",1)</f>
        <v>=DISPIMG("ID_2A8D26CD418941DB80D90637250110BC",1)</v>
      </c>
      <c r="D119" s="5"/>
      <c r="E119" s="4" t="s">
        <v>9</v>
      </c>
      <c r="F119" s="4" t="s">
        <v>10</v>
      </c>
      <c r="G119" s="8" t="str">
        <f>_xlfn.DISPIMG("ID_1C4A443256FA4A4F82CBFF8DADD6667C",1)</f>
        <v>=DISPIMG("ID_1C4A443256FA4A4F82CBFF8DADD6667C",1)</v>
      </c>
    </row>
    <row r="120" ht="21.4" customHeight="1" spans="1:7">
      <c r="A120" s="4" t="s">
        <v>11</v>
      </c>
      <c r="B120" s="9" t="s">
        <v>12</v>
      </c>
      <c r="C120" s="10"/>
      <c r="D120" s="5"/>
      <c r="E120" s="4" t="s">
        <v>11</v>
      </c>
      <c r="F120" s="9" t="s">
        <v>12</v>
      </c>
      <c r="G120" s="10"/>
    </row>
    <row r="121" ht="21.4" customHeight="1" spans="1:7">
      <c r="A121" s="4" t="s">
        <v>13</v>
      </c>
      <c r="B121" s="4" t="s">
        <v>14</v>
      </c>
      <c r="C121" s="10"/>
      <c r="D121" s="5"/>
      <c r="E121" s="4" t="s">
        <v>13</v>
      </c>
      <c r="F121" s="4" t="s">
        <v>14</v>
      </c>
      <c r="G121" s="10"/>
    </row>
    <row r="122" ht="21.4" customHeight="1" spans="1:7">
      <c r="A122" s="4" t="s">
        <v>15</v>
      </c>
      <c r="B122" s="4" t="s">
        <v>16</v>
      </c>
      <c r="C122" s="10"/>
      <c r="D122" s="5"/>
      <c r="E122" s="4" t="s">
        <v>15</v>
      </c>
      <c r="F122" s="4" t="s">
        <v>16</v>
      </c>
      <c r="G122" s="10"/>
    </row>
    <row r="123" ht="21.4" customHeight="1" spans="1:7">
      <c r="A123" s="4" t="s">
        <v>17</v>
      </c>
      <c r="B123" s="4" t="s">
        <v>16</v>
      </c>
      <c r="C123" s="10"/>
      <c r="D123" s="5"/>
      <c r="E123" s="4" t="s">
        <v>17</v>
      </c>
      <c r="F123" s="4" t="s">
        <v>16</v>
      </c>
      <c r="G123" s="10"/>
    </row>
    <row r="124" ht="21.4" customHeight="1" spans="1:7">
      <c r="A124" s="4" t="s">
        <v>18</v>
      </c>
      <c r="B124" s="4" t="s">
        <v>63</v>
      </c>
      <c r="C124" s="10"/>
      <c r="D124" s="5"/>
      <c r="E124" s="4" t="s">
        <v>18</v>
      </c>
      <c r="F124" s="4" t="s">
        <v>64</v>
      </c>
      <c r="G124" s="10"/>
    </row>
    <row r="125" ht="21.4" customHeight="1" spans="1:7">
      <c r="A125" s="4" t="s">
        <v>21</v>
      </c>
      <c r="B125" s="4" t="s">
        <v>22</v>
      </c>
      <c r="C125" s="12"/>
      <c r="D125" s="5"/>
      <c r="E125" s="4" t="s">
        <v>21</v>
      </c>
      <c r="F125" s="4" t="s">
        <v>22</v>
      </c>
      <c r="G125" s="12"/>
    </row>
    <row r="126" ht="61.2" spans="1:7">
      <c r="A126" s="1" t="s">
        <v>0</v>
      </c>
      <c r="B126" s="1"/>
      <c r="C126" s="2"/>
      <c r="D126" s="3"/>
      <c r="E126" s="1" t="s">
        <v>0</v>
      </c>
      <c r="F126" s="1"/>
      <c r="G126" s="2"/>
    </row>
    <row r="127" ht="21.3" customHeight="1" spans="1:7">
      <c r="A127" s="4" t="s">
        <v>1</v>
      </c>
      <c r="B127" s="4" t="s">
        <v>2</v>
      </c>
      <c r="C127" s="4"/>
      <c r="D127" s="5"/>
      <c r="E127" s="4" t="s">
        <v>1</v>
      </c>
      <c r="F127" s="4" t="s">
        <v>2</v>
      </c>
      <c r="G127" s="4"/>
    </row>
    <row r="128" ht="21.3" customHeight="1" spans="1:7">
      <c r="A128" s="4" t="s">
        <v>3</v>
      </c>
      <c r="B128" s="6" t="s">
        <v>4</v>
      </c>
      <c r="C128" s="7"/>
      <c r="D128" s="5"/>
      <c r="E128" s="4" t="s">
        <v>3</v>
      </c>
      <c r="F128" s="6" t="s">
        <v>4</v>
      </c>
      <c r="G128" s="7"/>
    </row>
    <row r="129" ht="21.3" customHeight="1" spans="1:7">
      <c r="A129" s="4" t="s">
        <v>5</v>
      </c>
      <c r="B129" s="6" t="s">
        <v>6</v>
      </c>
      <c r="C129" s="7"/>
      <c r="D129" s="5"/>
      <c r="E129" s="4" t="s">
        <v>5</v>
      </c>
      <c r="F129" s="6" t="s">
        <v>6</v>
      </c>
      <c r="G129" s="7"/>
    </row>
    <row r="130" ht="21.3" customHeight="1" spans="1:7">
      <c r="A130" s="4" t="s">
        <v>7</v>
      </c>
      <c r="B130" s="6" t="s">
        <v>8</v>
      </c>
      <c r="C130" s="7"/>
      <c r="D130" s="5"/>
      <c r="E130" s="4" t="s">
        <v>7</v>
      </c>
      <c r="F130" s="6" t="s">
        <v>8</v>
      </c>
      <c r="G130" s="7"/>
    </row>
    <row r="131" ht="21.3" customHeight="1" spans="1:7">
      <c r="A131" s="4" t="s">
        <v>9</v>
      </c>
      <c r="B131" s="4" t="s">
        <v>10</v>
      </c>
      <c r="C131" s="8" t="str">
        <f>_xlfn.DISPIMG("ID_18F2A01CD0CC4E54A9A2181F4B0D4AD3",1)</f>
        <v>=DISPIMG("ID_18F2A01CD0CC4E54A9A2181F4B0D4AD3",1)</v>
      </c>
      <c r="D131" s="5"/>
      <c r="E131" s="4" t="s">
        <v>9</v>
      </c>
      <c r="F131" s="4" t="s">
        <v>10</v>
      </c>
      <c r="G131" s="8" t="str">
        <f>_xlfn.DISPIMG("ID_FDEB2CDA118149F5AAF7BE9DC7E15448",1)</f>
        <v>=DISPIMG("ID_FDEB2CDA118149F5AAF7BE9DC7E15448",1)</v>
      </c>
    </row>
    <row r="132" ht="21.3" customHeight="1" spans="1:7">
      <c r="A132" s="4" t="s">
        <v>11</v>
      </c>
      <c r="B132" s="9" t="s">
        <v>12</v>
      </c>
      <c r="C132" s="10"/>
      <c r="D132" s="5"/>
      <c r="E132" s="4" t="s">
        <v>11</v>
      </c>
      <c r="F132" s="9" t="s">
        <v>12</v>
      </c>
      <c r="G132" s="10"/>
    </row>
    <row r="133" ht="21.3" customHeight="1" spans="1:7">
      <c r="A133" s="4" t="s">
        <v>13</v>
      </c>
      <c r="B133" s="4" t="s">
        <v>14</v>
      </c>
      <c r="C133" s="10"/>
      <c r="D133" s="5"/>
      <c r="E133" s="4" t="s">
        <v>13</v>
      </c>
      <c r="F133" s="4" t="s">
        <v>14</v>
      </c>
      <c r="G133" s="10"/>
    </row>
    <row r="134" ht="21.3" customHeight="1" spans="1:7">
      <c r="A134" s="4" t="s">
        <v>15</v>
      </c>
      <c r="B134" s="4" t="s">
        <v>16</v>
      </c>
      <c r="C134" s="10"/>
      <c r="D134" s="5"/>
      <c r="E134" s="4" t="s">
        <v>15</v>
      </c>
      <c r="F134" s="4" t="s">
        <v>16</v>
      </c>
      <c r="G134" s="10"/>
    </row>
    <row r="135" ht="21.3" customHeight="1" spans="1:7">
      <c r="A135" s="4" t="s">
        <v>17</v>
      </c>
      <c r="B135" s="4" t="s">
        <v>16</v>
      </c>
      <c r="C135" s="10"/>
      <c r="D135" s="5"/>
      <c r="E135" s="4" t="s">
        <v>17</v>
      </c>
      <c r="F135" s="4" t="s">
        <v>16</v>
      </c>
      <c r="G135" s="10"/>
    </row>
    <row r="136" ht="21.3" customHeight="1" spans="1:7">
      <c r="A136" s="4" t="s">
        <v>18</v>
      </c>
      <c r="B136" s="4" t="s">
        <v>65</v>
      </c>
      <c r="C136" s="10"/>
      <c r="D136" s="5"/>
      <c r="E136" s="4" t="s">
        <v>18</v>
      </c>
      <c r="F136" s="4" t="s">
        <v>66</v>
      </c>
      <c r="G136" s="10"/>
    </row>
    <row r="137" ht="21.3" customHeight="1" spans="1:7">
      <c r="A137" s="4" t="s">
        <v>21</v>
      </c>
      <c r="B137" s="4" t="s">
        <v>22</v>
      </c>
      <c r="C137" s="12"/>
      <c r="D137" s="5"/>
      <c r="E137" s="4" t="s">
        <v>21</v>
      </c>
      <c r="F137" s="4" t="s">
        <v>22</v>
      </c>
      <c r="G137" s="12"/>
    </row>
    <row r="138" ht="29" customHeight="1" spans="1:7">
      <c r="A138" s="13"/>
      <c r="B138" s="13"/>
      <c r="C138" s="13"/>
      <c r="D138" s="13"/>
      <c r="E138" s="13"/>
      <c r="F138" s="13"/>
      <c r="G138" s="13"/>
    </row>
    <row r="139" ht="61.2" spans="1:7">
      <c r="A139" s="1" t="s">
        <v>0</v>
      </c>
      <c r="B139" s="1"/>
      <c r="C139" s="2"/>
      <c r="D139" s="3"/>
      <c r="E139" s="1" t="s">
        <v>0</v>
      </c>
      <c r="F139" s="1"/>
      <c r="G139" s="2"/>
    </row>
    <row r="140" ht="21.4" customHeight="1" spans="1:7">
      <c r="A140" s="4" t="s">
        <v>1</v>
      </c>
      <c r="B140" s="4" t="s">
        <v>2</v>
      </c>
      <c r="C140" s="4"/>
      <c r="D140" s="5"/>
      <c r="E140" s="4" t="s">
        <v>1</v>
      </c>
      <c r="F140" s="4" t="s">
        <v>2</v>
      </c>
      <c r="G140" s="4"/>
    </row>
    <row r="141" ht="21.4" customHeight="1" spans="1:7">
      <c r="A141" s="4" t="s">
        <v>3</v>
      </c>
      <c r="B141" s="6" t="s">
        <v>4</v>
      </c>
      <c r="C141" s="7"/>
      <c r="D141" s="5"/>
      <c r="E141" s="4" t="s">
        <v>3</v>
      </c>
      <c r="F141" s="6" t="s">
        <v>4</v>
      </c>
      <c r="G141" s="7"/>
    </row>
    <row r="142" ht="21.4" customHeight="1" spans="1:7">
      <c r="A142" s="4" t="s">
        <v>5</v>
      </c>
      <c r="B142" s="6" t="s">
        <v>6</v>
      </c>
      <c r="C142" s="7"/>
      <c r="D142" s="5"/>
      <c r="E142" s="4" t="s">
        <v>5</v>
      </c>
      <c r="F142" s="6" t="s">
        <v>6</v>
      </c>
      <c r="G142" s="7"/>
    </row>
    <row r="143" ht="21.4" customHeight="1" spans="1:7">
      <c r="A143" s="4" t="s">
        <v>7</v>
      </c>
      <c r="B143" s="6" t="s">
        <v>8</v>
      </c>
      <c r="C143" s="7"/>
      <c r="D143" s="5"/>
      <c r="E143" s="4" t="s">
        <v>7</v>
      </c>
      <c r="F143" s="6" t="s">
        <v>8</v>
      </c>
      <c r="G143" s="7"/>
    </row>
    <row r="144" ht="21.4" customHeight="1" spans="1:7">
      <c r="A144" s="4" t="s">
        <v>9</v>
      </c>
      <c r="B144" s="4" t="s">
        <v>10</v>
      </c>
      <c r="C144" s="8" t="str">
        <f>_xlfn.DISPIMG("ID_5D684B9A90C840F3BB605B25AC3B74C5",1)</f>
        <v>=DISPIMG("ID_5D684B9A90C840F3BB605B25AC3B74C5",1)</v>
      </c>
      <c r="D144" s="5"/>
      <c r="E144" s="4" t="s">
        <v>9</v>
      </c>
      <c r="F144" s="4" t="s">
        <v>10</v>
      </c>
      <c r="G144" s="8" t="str">
        <f>_xlfn.DISPIMG("ID_FD1FC1FD41F04E54844D87E09454E231",1)</f>
        <v>=DISPIMG("ID_FD1FC1FD41F04E54844D87E09454E231",1)</v>
      </c>
    </row>
    <row r="145" ht="21.4" customHeight="1" spans="1:7">
      <c r="A145" s="4" t="s">
        <v>11</v>
      </c>
      <c r="B145" s="9" t="s">
        <v>12</v>
      </c>
      <c r="C145" s="10"/>
      <c r="D145" s="5"/>
      <c r="E145" s="4" t="s">
        <v>11</v>
      </c>
      <c r="F145" s="9" t="s">
        <v>12</v>
      </c>
      <c r="G145" s="10"/>
    </row>
    <row r="146" ht="21.4" customHeight="1" spans="1:7">
      <c r="A146" s="4" t="s">
        <v>13</v>
      </c>
      <c r="B146" s="4" t="s">
        <v>14</v>
      </c>
      <c r="C146" s="10"/>
      <c r="D146" s="5"/>
      <c r="E146" s="4" t="s">
        <v>13</v>
      </c>
      <c r="F146" s="4" t="s">
        <v>14</v>
      </c>
      <c r="G146" s="10"/>
    </row>
    <row r="147" ht="21.4" customHeight="1" spans="1:7">
      <c r="A147" s="4" t="s">
        <v>15</v>
      </c>
      <c r="B147" s="4" t="s">
        <v>16</v>
      </c>
      <c r="C147" s="10"/>
      <c r="D147" s="5"/>
      <c r="E147" s="4" t="s">
        <v>15</v>
      </c>
      <c r="F147" s="4" t="s">
        <v>16</v>
      </c>
      <c r="G147" s="10"/>
    </row>
    <row r="148" ht="21.4" customHeight="1" spans="1:7">
      <c r="A148" s="4" t="s">
        <v>17</v>
      </c>
      <c r="B148" s="4" t="s">
        <v>16</v>
      </c>
      <c r="C148" s="10"/>
      <c r="D148" s="5"/>
      <c r="E148" s="4" t="s">
        <v>17</v>
      </c>
      <c r="F148" s="4" t="s">
        <v>16</v>
      </c>
      <c r="G148" s="10"/>
    </row>
    <row r="149" ht="21.4" customHeight="1" spans="1:7">
      <c r="A149" s="4" t="s">
        <v>18</v>
      </c>
      <c r="B149" s="4" t="s">
        <v>67</v>
      </c>
      <c r="C149" s="10"/>
      <c r="D149" s="5"/>
      <c r="E149" s="4" t="s">
        <v>18</v>
      </c>
      <c r="F149" s="4" t="s">
        <v>68</v>
      </c>
      <c r="G149" s="10"/>
    </row>
    <row r="150" ht="21.4" customHeight="1" spans="1:7">
      <c r="A150" s="4" t="s">
        <v>21</v>
      </c>
      <c r="B150" s="4" t="s">
        <v>22</v>
      </c>
      <c r="C150" s="12"/>
      <c r="D150" s="5"/>
      <c r="E150" s="4" t="s">
        <v>21</v>
      </c>
      <c r="F150" s="4" t="s">
        <v>22</v>
      </c>
      <c r="G150" s="12"/>
    </row>
  </sheetData>
  <mergeCells count="120">
    <mergeCell ref="B2:C2"/>
    <mergeCell ref="F2:G2"/>
    <mergeCell ref="B3:C3"/>
    <mergeCell ref="F3:G3"/>
    <mergeCell ref="B4:C4"/>
    <mergeCell ref="F4:G4"/>
    <mergeCell ref="B5:C5"/>
    <mergeCell ref="F5:G5"/>
    <mergeCell ref="B15:C15"/>
    <mergeCell ref="F15:G15"/>
    <mergeCell ref="B16:C16"/>
    <mergeCell ref="F16:G16"/>
    <mergeCell ref="B17:C17"/>
    <mergeCell ref="F17:G17"/>
    <mergeCell ref="B18:C18"/>
    <mergeCell ref="F18:G18"/>
    <mergeCell ref="B27:C27"/>
    <mergeCell ref="F27:G27"/>
    <mergeCell ref="B28:C28"/>
    <mergeCell ref="F28:G28"/>
    <mergeCell ref="B29:C29"/>
    <mergeCell ref="F29:G29"/>
    <mergeCell ref="B30:C30"/>
    <mergeCell ref="F30:G30"/>
    <mergeCell ref="B40:C40"/>
    <mergeCell ref="F40:G40"/>
    <mergeCell ref="B41:C41"/>
    <mergeCell ref="F41:G41"/>
    <mergeCell ref="B42:C42"/>
    <mergeCell ref="F42:G42"/>
    <mergeCell ref="B43:C43"/>
    <mergeCell ref="F43:G43"/>
    <mergeCell ref="B52:C52"/>
    <mergeCell ref="F52:G52"/>
    <mergeCell ref="B53:C53"/>
    <mergeCell ref="F53:G53"/>
    <mergeCell ref="B54:C54"/>
    <mergeCell ref="F54:G54"/>
    <mergeCell ref="B55:C55"/>
    <mergeCell ref="F55:G55"/>
    <mergeCell ref="B65:C65"/>
    <mergeCell ref="F65:G65"/>
    <mergeCell ref="B66:C66"/>
    <mergeCell ref="F66:G66"/>
    <mergeCell ref="B67:C67"/>
    <mergeCell ref="F67:G67"/>
    <mergeCell ref="B68:C68"/>
    <mergeCell ref="F68:G68"/>
    <mergeCell ref="B77:C77"/>
    <mergeCell ref="F77:G77"/>
    <mergeCell ref="B78:C78"/>
    <mergeCell ref="F78:G78"/>
    <mergeCell ref="B79:C79"/>
    <mergeCell ref="F79:G79"/>
    <mergeCell ref="B80:C80"/>
    <mergeCell ref="F80:G80"/>
    <mergeCell ref="B90:C90"/>
    <mergeCell ref="F90:G90"/>
    <mergeCell ref="B91:C91"/>
    <mergeCell ref="F91:G91"/>
    <mergeCell ref="B92:C92"/>
    <mergeCell ref="F92:G92"/>
    <mergeCell ref="B93:C93"/>
    <mergeCell ref="F93:G93"/>
    <mergeCell ref="B102:C102"/>
    <mergeCell ref="F102:G102"/>
    <mergeCell ref="B103:C103"/>
    <mergeCell ref="F103:G103"/>
    <mergeCell ref="B104:C104"/>
    <mergeCell ref="F104:G104"/>
    <mergeCell ref="B105:C105"/>
    <mergeCell ref="F105:G105"/>
    <mergeCell ref="B115:C115"/>
    <mergeCell ref="F115:G115"/>
    <mergeCell ref="B116:C116"/>
    <mergeCell ref="F116:G116"/>
    <mergeCell ref="B117:C117"/>
    <mergeCell ref="F117:G117"/>
    <mergeCell ref="B118:C118"/>
    <mergeCell ref="F118:G118"/>
    <mergeCell ref="B127:C127"/>
    <mergeCell ref="F127:G127"/>
    <mergeCell ref="B128:C128"/>
    <mergeCell ref="F128:G128"/>
    <mergeCell ref="B129:C129"/>
    <mergeCell ref="F129:G129"/>
    <mergeCell ref="B130:C130"/>
    <mergeCell ref="F130:G130"/>
    <mergeCell ref="B140:C140"/>
    <mergeCell ref="F140:G140"/>
    <mergeCell ref="B141:C141"/>
    <mergeCell ref="F141:G141"/>
    <mergeCell ref="B142:C142"/>
    <mergeCell ref="F142:G142"/>
    <mergeCell ref="B143:C143"/>
    <mergeCell ref="F143:G143"/>
    <mergeCell ref="C6:C12"/>
    <mergeCell ref="C19:C25"/>
    <mergeCell ref="C31:C37"/>
    <mergeCell ref="C44:C50"/>
    <mergeCell ref="C56:C62"/>
    <mergeCell ref="C69:C75"/>
    <mergeCell ref="C81:C87"/>
    <mergeCell ref="C94:C100"/>
    <mergeCell ref="C106:C112"/>
    <mergeCell ref="C119:C125"/>
    <mergeCell ref="C131:C137"/>
    <mergeCell ref="C144:C150"/>
    <mergeCell ref="G6:G12"/>
    <mergeCell ref="G19:G25"/>
    <mergeCell ref="G31:G37"/>
    <mergeCell ref="G44:G50"/>
    <mergeCell ref="G56:G62"/>
    <mergeCell ref="G69:G75"/>
    <mergeCell ref="G81:G87"/>
    <mergeCell ref="G94:G100"/>
    <mergeCell ref="G106:G112"/>
    <mergeCell ref="G119:G125"/>
    <mergeCell ref="G131:G137"/>
    <mergeCell ref="G144:G150"/>
  </mergeCells>
  <pageMargins left="0.75" right="0.75" top="1" bottom="1" header="0.5" footer="0.5"/>
  <pageSetup paperSize="9" scale="75" fitToHeight="0" orientation="landscape"/>
  <headerFooter/>
  <rowBreaks count="4" manualBreakCount="4">
    <brk id="25" max="6" man="1"/>
    <brk id="75" max="16383" man="1"/>
    <brk id="100" max="16383" man="1"/>
    <brk id="125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89998-SDA141015260005</vt:lpstr>
      <vt:lpstr>89998-SDA141015260005-2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1996-12-17T01:32:00Z</dcterms:created>
  <cp:lastPrinted>2008-11-12T03:11:00Z</cp:lastPrinted>
  <dcterms:modified xsi:type="dcterms:W3CDTF">2026-06-06T06:10:58Z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2CBD7D46B34B4B50833E3FE057BF79C2_13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